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 List" sheetId="1" r:id="rId5"/>
    <sheet state="visible" name="Defect Report" sheetId="2" r:id="rId6"/>
    <sheet state="visible" name="Defect Severity Distribution" sheetId="3" r:id="rId7"/>
    <sheet state="visible" name="Summary" sheetId="4" r:id="rId8"/>
    <sheet state="visible" name="Prompt History" sheetId="5" r:id="rId9"/>
    <sheet state="visible" name="Legend" sheetId="6" r:id="rId10"/>
  </sheets>
  <definedNames/>
  <calcPr/>
</workbook>
</file>

<file path=xl/sharedStrings.xml><?xml version="1.0" encoding="utf-8"?>
<sst xmlns="http://schemas.openxmlformats.org/spreadsheetml/2006/main" count="141" uniqueCount="94">
  <si>
    <t>No.</t>
  </si>
  <si>
    <t>ID</t>
  </si>
  <si>
    <t>Requirement Name</t>
  </si>
  <si>
    <t>Details</t>
  </si>
  <si>
    <t>Remark</t>
  </si>
  <si>
    <t>R001</t>
  </si>
  <si>
    <t>Login</t>
  </si>
  <si>
    <t>R002</t>
  </si>
  <si>
    <t>XYZ</t>
  </si>
  <si>
    <t>R003</t>
  </si>
  <si>
    <t>Manage Client</t>
  </si>
  <si>
    <t>&lt;&lt;&lt; Insert New Line above this line &gt;&gt;&gt;</t>
  </si>
  <si>
    <t>BugID</t>
  </si>
  <si>
    <t>Status</t>
  </si>
  <si>
    <t>Summary</t>
  </si>
  <si>
    <t>Steps to reproduce</t>
  </si>
  <si>
    <t>Severity</t>
  </si>
  <si>
    <t>Frequency</t>
  </si>
  <si>
    <t>Priority</t>
  </si>
  <si>
    <t>Attachment (Link to file)</t>
  </si>
  <si>
    <t>Date</t>
  </si>
  <si>
    <t>Reporter</t>
  </si>
  <si>
    <t>Build</t>
  </si>
  <si>
    <t>ManageClient-B001</t>
  </si>
  <si>
    <t>New</t>
  </si>
  <si>
    <t>[Manage Client] 'Manage Clients: New' page is not loaded when user click on 'New' button</t>
  </si>
  <si>
    <r>
      <rPr>
        <rFont val="Arial, sans-serif"/>
        <color theme="1"/>
      </rPr>
      <t xml:space="preserve">Test environment: 
 - Platform: FF 5.0, Win7
 - Server: http://123.30.67.51/mambo/build1
 Steps: 
  1. Click on menu Components &gt; Banners &gt; Manage Clients
  2. Verify that 'Manage Clients' page is loaded and display client list
  3. Click on 'New' button in the top right of page
  4. Verify that 'Manage Clients: New' page is loaded
 </t>
    </r>
    <r>
      <rPr>
        <rFont val="Arial, sans-serif"/>
        <b/>
        <color rgb="FFFF0000"/>
      </rPr>
      <t>Expected result: 'Manage Clients: New' page is loaded
 Actual result: 'Manage Clients: New' page is not loaded</t>
    </r>
    <r>
      <rPr>
        <rFont val="Arial, sans-serif"/>
        <color theme="1"/>
      </rPr>
      <t xml:space="preserve">
 </t>
    </r>
  </si>
  <si>
    <t>Major</t>
  </si>
  <si>
    <t>Always</t>
  </si>
  <si>
    <t>Urgent</t>
  </si>
  <si>
    <t>No</t>
  </si>
  <si>
    <t>Student ID1</t>
  </si>
  <si>
    <t>Build 01</t>
  </si>
  <si>
    <t>XYZ-B001</t>
  </si>
  <si>
    <t>Closed</t>
  </si>
  <si>
    <t>Minor</t>
  </si>
  <si>
    <t>Student ID2</t>
  </si>
  <si>
    <t>TC: WHAT + CONDITION + EXPECTED</t>
  </si>
  <si>
    <t>BUG: ACTUAL + CONDITION</t>
  </si>
  <si>
    <t>DEFECT SEVERITY DISTRIBUTION</t>
  </si>
  <si>
    <t>Block</t>
  </si>
  <si>
    <t>Crash</t>
  </si>
  <si>
    <t>Tweak</t>
  </si>
  <si>
    <t>Text</t>
  </si>
  <si>
    <t>Trivial</t>
  </si>
  <si>
    <t>Feature</t>
  </si>
  <si>
    <t>Total</t>
  </si>
  <si>
    <t>Fixed</t>
  </si>
  <si>
    <t>Not fixed</t>
  </si>
  <si>
    <t>Bug found per tester with priority</t>
  </si>
  <si>
    <t>Tester Name</t>
  </si>
  <si>
    <t>Immediate</t>
  </si>
  <si>
    <t>High</t>
  </si>
  <si>
    <t>Normal</t>
  </si>
  <si>
    <t>Low</t>
  </si>
  <si>
    <t>Subtotal</t>
  </si>
  <si>
    <t>Student ID3</t>
  </si>
  <si>
    <t>Bug found per tester today and total so far</t>
  </si>
  <si>
    <t># Bugs Found Today</t>
  </si>
  <si>
    <t># Bug found so far</t>
  </si>
  <si>
    <t>Bug found per build</t>
  </si>
  <si>
    <t># of Bug Found</t>
  </si>
  <si>
    <t># of Bug Closed</t>
  </si>
  <si>
    <t># Bug Reopened</t>
  </si>
  <si>
    <t>Build 02</t>
  </si>
  <si>
    <t>Build 03</t>
  </si>
  <si>
    <t>Student ID</t>
  </si>
  <si>
    <t>AI Tool</t>
  </si>
  <si>
    <t>Prompt Link</t>
  </si>
  <si>
    <t>Verdict</t>
  </si>
  <si>
    <t>Reasoning (ISTQB)</t>
  </si>
  <si>
    <t>Student Fix</t>
  </si>
  <si>
    <t>ChatGPT/Gemini/Copilot</t>
  </si>
  <si>
    <t>Incomplete/Valid/Invalid</t>
  </si>
  <si>
    <t>Defect Status</t>
  </si>
  <si>
    <t>New/Opened</t>
  </si>
  <si>
    <t>Opened</t>
  </si>
  <si>
    <t>Assigned</t>
  </si>
  <si>
    <t>Fixed/Resolved</t>
  </si>
  <si>
    <t>Reopened</t>
  </si>
  <si>
    <t>Description</t>
  </si>
  <si>
    <t>critical negative impact; this issue is holding up progress on another issue/task/project</t>
  </si>
  <si>
    <t>severe negative impact; hardware/software necessary for job duties is crashed/crashing</t>
  </si>
  <si>
    <t>large negative impact; no workaround available</t>
  </si>
  <si>
    <t>medium negative impact; no workaround available</t>
  </si>
  <si>
    <t>small negative impact; workaround is unavailable or is very complex/inefficient</t>
  </si>
  <si>
    <t>tiny negative impact; text-based content needs updated</t>
  </si>
  <si>
    <t>annoyance/hindrance; a simple workaround is available</t>
  </si>
  <si>
    <t>no negative impact on current processes; request for additional functionality</t>
  </si>
  <si>
    <t>Sometimes</t>
  </si>
  <si>
    <t>Random</t>
  </si>
  <si>
    <t>Have not tried</t>
  </si>
  <si>
    <t>Unable to reproduce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</si>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</sst>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16">
    <font>
      <sz val="10.0"/>
      <color rgb="FF000000"/>
      <name val="Arial"/>
      <scheme val="minor"/>
    </font>
    <font>
      <b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b/>
      <color rgb="FFFF0000"/>
      <name val="Arial"/>
    </font>
    <font>
      <color theme="1"/>
      <name val="Arial"/>
      <scheme val="minor"/>
    </font>
    <font>
      <color theme="1"/>
      <name val="Arial"/>
    </font>
    <font/>
    <font>
      <sz val="12.0"/>
      <color theme="1"/>
      <name val="Calibri"/>
    </font>
    <font>
      <b/>
      <sz val="11.0"/>
      <color rgb="FFFF9900"/>
      <name val="Arial"/>
    </font>
    <font>
      <b/>
      <color rgb="FF000000"/>
      <name val="Arial"/>
    </font>
    <font>
      <b/>
      <sz val="12.0"/>
      <color rgb="FFFF0000"/>
      <name val="Arial"/>
    </font>
    <font>
      <b/>
      <color rgb="FFFF9900"/>
      <name val="Arial"/>
    </font>
    <font>
      <b/>
      <sz val="12.0"/>
      <color theme="1"/>
      <name val="Arial"/>
    </font>
    <font>
      <color rgb="FF000000"/>
      <name val="Arial"/>
    </font>
    <font>
      <sz val="12.0"/>
      <color rgb="FF000000"/>
      <name val="Nunito"/>
    </font>
  </fonts>
  <fills count="6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horizontal="center" vertical="bottom"/>
    </xf>
    <xf borderId="2" fillId="3" fontId="4" numFmtId="0" xfId="0" applyAlignment="1" applyBorder="1" applyFill="1" applyFont="1">
      <alignment readingOrder="0" shrinkToFit="0" vertical="center" wrapText="0"/>
    </xf>
    <xf borderId="2" fillId="3" fontId="1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vertical="center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wrapText="0"/>
    </xf>
    <xf borderId="2" fillId="0" fontId="6" numFmtId="0" xfId="0" applyAlignment="1" applyBorder="1" applyFont="1">
      <alignment horizontal="center" readingOrder="0" shrinkToFit="0" vertical="top" wrapText="0"/>
    </xf>
    <xf borderId="3" fillId="0" fontId="6" numFmtId="0" xfId="0" applyAlignment="1" applyBorder="1" applyFont="1">
      <alignment horizontal="center" readingOrder="0" shrinkToFit="0" vertical="top" wrapText="0"/>
    </xf>
    <xf borderId="3" fillId="0" fontId="6" numFmtId="0" xfId="0" applyAlignment="1" applyBorder="1" applyFont="1">
      <alignment horizontal="left" readingOrder="0" shrinkToFit="0" vertical="top" wrapText="1"/>
    </xf>
    <xf borderId="3" fillId="0" fontId="6" numFmtId="164" xfId="0" applyAlignment="1" applyBorder="1" applyFont="1" applyNumberFormat="1">
      <alignment horizontal="center" readingOrder="0" shrinkToFit="0" vertical="top" wrapText="0"/>
    </xf>
    <xf borderId="0" fillId="0" fontId="5" numFmtId="0" xfId="0" applyAlignment="1" applyFont="1">
      <alignment shrinkToFit="0" vertical="top" wrapText="0"/>
    </xf>
    <xf borderId="2" fillId="3" fontId="4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4" fillId="4" fontId="1" numFmtId="0" xfId="0" applyAlignment="1" applyBorder="1" applyFill="1" applyFont="1">
      <alignment horizontal="center" readingOrder="0" shrinkToFit="0" vertical="bottom" wrapText="0"/>
    </xf>
    <xf borderId="4" fillId="0" fontId="7" numFmtId="0" xfId="0" applyBorder="1" applyFont="1"/>
    <xf borderId="2" fillId="0" fontId="8" numFmtId="0" xfId="0" applyAlignment="1" applyBorder="1" applyFont="1">
      <alignment horizontal="center" vertical="bottom"/>
    </xf>
    <xf borderId="3" fillId="0" fontId="8" numFmtId="0" xfId="0" applyAlignment="1" applyBorder="1" applyFont="1">
      <alignment vertical="bottom"/>
    </xf>
    <xf borderId="3" fillId="0" fontId="8" numFmtId="0" xfId="0" applyAlignment="1" applyBorder="1" applyFont="1">
      <alignment horizontal="center" vertical="bottom"/>
    </xf>
    <xf borderId="3" fillId="0" fontId="9" numFmtId="0" xfId="0" applyAlignment="1" applyBorder="1" applyFont="1">
      <alignment horizontal="center" readingOrder="0" shrinkToFit="0" vertical="bottom" wrapText="0"/>
    </xf>
    <xf borderId="2" fillId="0" fontId="8" numFmtId="0" xfId="0" applyAlignment="1" applyBorder="1" applyFont="1">
      <alignment horizontal="center" readingOrder="0" vertical="bottom"/>
    </xf>
    <xf borderId="2" fillId="3" fontId="4" numFmtId="0" xfId="0" applyAlignment="1" applyBorder="1" applyFont="1">
      <alignment readingOrder="0" shrinkToFit="0" vertical="center" wrapText="1"/>
    </xf>
    <xf borderId="2" fillId="3" fontId="10" numFmtId="0" xfId="0" applyAlignment="1" applyBorder="1" applyFont="1">
      <alignment readingOrder="0" shrinkToFit="0" vertical="center" wrapText="0"/>
    </xf>
    <xf borderId="2" fillId="3" fontId="11" numFmtId="0" xfId="0" applyAlignment="1" applyBorder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2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3" fillId="0" fontId="12" numFmtId="0" xfId="0" applyAlignment="1" applyBorder="1" applyFont="1">
      <alignment horizontal="center" readingOrder="0" shrinkToFit="0" vertical="bottom" wrapText="0"/>
    </xf>
    <xf borderId="2" fillId="3" fontId="1" numFmtId="0" xfId="0" applyAlignment="1" applyBorder="1" applyFont="1">
      <alignment readingOrder="0" shrinkToFit="0" vertical="bottom" wrapText="0"/>
    </xf>
    <xf borderId="5" fillId="3" fontId="11" numFmtId="0" xfId="0" applyAlignment="1" applyBorder="1" applyFont="1">
      <alignment horizontal="center" readingOrder="0" shrinkToFit="0" vertical="bottom" wrapText="0"/>
    </xf>
    <xf borderId="5" fillId="0" fontId="7" numFmtId="0" xfId="0" applyBorder="1" applyFont="1"/>
    <xf borderId="6" fillId="0" fontId="7" numFmtId="0" xfId="0" applyBorder="1" applyFont="1"/>
    <xf borderId="0" fillId="0" fontId="6" numFmtId="0" xfId="0" applyAlignment="1" applyFont="1">
      <alignment shrinkToFit="0" vertical="bottom" wrapText="0"/>
    </xf>
    <xf borderId="7" fillId="4" fontId="1" numFmtId="0" xfId="0" applyAlignment="1" applyBorder="1" applyFont="1">
      <alignment horizontal="center" readingOrder="0" shrinkToFit="0" vertical="bottom" wrapText="0"/>
    </xf>
    <xf borderId="3" fillId="3" fontId="11" numFmtId="0" xfId="0" applyAlignment="1" applyBorder="1" applyFont="1">
      <alignment horizontal="center" readingOrder="0" shrinkToFit="0" vertical="bottom" wrapText="0"/>
    </xf>
    <xf borderId="2" fillId="0" fontId="6" numFmtId="0" xfId="0" applyAlignment="1" applyBorder="1" applyFont="1">
      <alignment horizontal="center" shrinkToFit="0" vertical="bottom" wrapText="0"/>
    </xf>
    <xf borderId="2" fillId="3" fontId="13" numFmtId="0" xfId="0" applyAlignment="1" applyBorder="1" applyFont="1">
      <alignment shrinkToFit="0" vertical="bottom" wrapText="0"/>
    </xf>
    <xf borderId="1" fillId="0" fontId="14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1" fillId="0" fontId="5" numFmtId="0" xfId="0" applyBorder="1" applyFont="1"/>
    <xf borderId="2" fillId="0" fontId="6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5" fontId="1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5.63"/>
    <col customWidth="1" min="3" max="3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4" t="s">
        <v>6</v>
      </c>
      <c r="D2" s="5"/>
      <c r="E2" s="5"/>
    </row>
    <row r="3">
      <c r="A3" s="2">
        <v>2.0</v>
      </c>
      <c r="B3" s="6" t="s">
        <v>7</v>
      </c>
      <c r="C3" s="4" t="s">
        <v>8</v>
      </c>
      <c r="D3" s="5"/>
      <c r="E3" s="5"/>
    </row>
    <row r="4">
      <c r="A4" s="4">
        <v>3.0</v>
      </c>
      <c r="B4" s="6" t="s">
        <v>9</v>
      </c>
      <c r="C4" s="4" t="s">
        <v>10</v>
      </c>
      <c r="D4" s="5"/>
      <c r="E4" s="5"/>
    </row>
    <row r="5">
      <c r="A5" s="7" t="s">
        <v>11</v>
      </c>
      <c r="B5" s="8"/>
      <c r="C5" s="8"/>
      <c r="D5" s="8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0.25"/>
    <col customWidth="1" min="4" max="4" width="15.88"/>
    <col customWidth="1" min="5" max="5" width="23.75"/>
    <col customWidth="1" min="6" max="6" width="62.5"/>
    <col customWidth="1" min="10" max="10" width="38.63"/>
  </cols>
  <sheetData>
    <row r="1">
      <c r="A1" s="10" t="s">
        <v>0</v>
      </c>
      <c r="B1" s="10" t="s">
        <v>12</v>
      </c>
      <c r="C1" s="10" t="s">
        <v>13</v>
      </c>
      <c r="D1" s="10" t="s">
        <v>2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  <c r="K1" s="10" t="s">
        <v>20</v>
      </c>
      <c r="L1" s="10" t="s">
        <v>21</v>
      </c>
      <c r="M1" s="10" t="s">
        <v>22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>
        <v>1.0</v>
      </c>
      <c r="B2" s="12" t="s">
        <v>23</v>
      </c>
      <c r="C2" s="13" t="s">
        <v>24</v>
      </c>
      <c r="D2" s="13" t="s">
        <v>10</v>
      </c>
      <c r="E2" s="14" t="s">
        <v>25</v>
      </c>
      <c r="F2" s="14" t="s">
        <v>26</v>
      </c>
      <c r="G2" s="13" t="s">
        <v>27</v>
      </c>
      <c r="H2" s="13" t="s">
        <v>28</v>
      </c>
      <c r="I2" s="13" t="s">
        <v>29</v>
      </c>
      <c r="J2" s="13" t="s">
        <v>30</v>
      </c>
      <c r="K2" s="15">
        <v>40609.0</v>
      </c>
      <c r="L2" s="13" t="s">
        <v>31</v>
      </c>
      <c r="M2" s="13" t="s">
        <v>32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2">
        <v>2.0</v>
      </c>
      <c r="B3" s="12" t="s">
        <v>33</v>
      </c>
      <c r="C3" s="13" t="s">
        <v>34</v>
      </c>
      <c r="D3" s="13" t="s">
        <v>8</v>
      </c>
      <c r="E3" s="14"/>
      <c r="F3" s="14"/>
      <c r="G3" s="13" t="s">
        <v>35</v>
      </c>
      <c r="H3" s="13" t="s">
        <v>28</v>
      </c>
      <c r="I3" s="13" t="s">
        <v>29</v>
      </c>
      <c r="J3" s="13" t="s">
        <v>30</v>
      </c>
      <c r="K3" s="15">
        <v>40609.0</v>
      </c>
      <c r="L3" s="13" t="s">
        <v>36</v>
      </c>
      <c r="M3" s="13" t="s">
        <v>32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7" t="s">
        <v>11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1"/>
      <c r="B6" s="11"/>
      <c r="C6" s="11"/>
      <c r="D6" s="11"/>
      <c r="E6" s="18" t="s">
        <v>37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1"/>
      <c r="B7" s="11"/>
      <c r="C7" s="11"/>
      <c r="D7" s="11"/>
      <c r="E7" s="18" t="s">
        <v>38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3" max="13" width="8.88"/>
  </cols>
  <sheetData>
    <row r="1">
      <c r="A1" s="19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>
      <c r="A2" s="10" t="s">
        <v>0</v>
      </c>
      <c r="B2" s="10" t="s">
        <v>2</v>
      </c>
      <c r="C2" s="10" t="s">
        <v>40</v>
      </c>
      <c r="D2" s="10" t="s">
        <v>41</v>
      </c>
      <c r="E2" s="10" t="s">
        <v>27</v>
      </c>
      <c r="F2" s="10" t="s">
        <v>35</v>
      </c>
      <c r="G2" s="10" t="s">
        <v>42</v>
      </c>
      <c r="H2" s="10" t="s">
        <v>43</v>
      </c>
      <c r="I2" s="10" t="s">
        <v>44</v>
      </c>
      <c r="J2" s="10" t="s">
        <v>45</v>
      </c>
      <c r="K2" s="10" t="s">
        <v>46</v>
      </c>
      <c r="L2" s="10" t="s">
        <v>47</v>
      </c>
      <c r="M2" s="10" t="s">
        <v>48</v>
      </c>
    </row>
    <row r="3">
      <c r="A3" s="21">
        <v>1.0</v>
      </c>
      <c r="B3" s="22" t="str">
        <f>'Requirement List'!C2</f>
        <v>Login</v>
      </c>
      <c r="C3" s="23">
        <f>COUNTIFS('Defect Report'!$L:$L,'Defect Severity Distribution'!$B3,'Defect Report'!$G:$G,C$2)</f>
        <v>0</v>
      </c>
      <c r="D3" s="23">
        <f>COUNTIFS('Defect Report'!$D:$D,'Defect Severity Distribution'!$B3,'Defect Report'!$G:$G,D$2)</f>
        <v>0</v>
      </c>
      <c r="E3" s="23">
        <f>COUNTIFS('Defect Report'!$D:$D,'Defect Severity Distribution'!$B3,'Defect Report'!$G:$G,E$2)</f>
        <v>0</v>
      </c>
      <c r="F3" s="23">
        <f>COUNTIFS('Defect Report'!$D:$D,'Defect Severity Distribution'!$B3,'Defect Report'!$G:$G,F$2)</f>
        <v>0</v>
      </c>
      <c r="G3" s="23">
        <f>COUNTIFS('Defect Report'!$D:$D,'Defect Severity Distribution'!$B3,'Defect Report'!$G:$G,G$2)</f>
        <v>0</v>
      </c>
      <c r="H3" s="23">
        <f>COUNTIFS('Defect Report'!$D:$D,'Defect Severity Distribution'!$B3,'Defect Report'!$G:$G,H$2)</f>
        <v>0</v>
      </c>
      <c r="I3" s="23">
        <f>COUNTIFS('Defect Report'!$D:$D,'Defect Severity Distribution'!$B3,'Defect Report'!$G:$G,I$2)</f>
        <v>0</v>
      </c>
      <c r="J3" s="23">
        <f>COUNTIFS('Defect Report'!$D:$D,'Defect Severity Distribution'!$B3,'Defect Report'!$G:$G,J$2)</f>
        <v>0</v>
      </c>
      <c r="K3" s="24">
        <f t="shared" ref="K3:K5" si="1">SUM(C3:F3)</f>
        <v>0</v>
      </c>
      <c r="L3" s="23">
        <f>COUNTIFS('Defect Report'!$D:$D,'Defect Severity Distribution'!$B3,'Defect Report'!$C:$C,"Closed")</f>
        <v>0</v>
      </c>
      <c r="M3" s="23">
        <f t="shared" ref="M3:M5" si="2">K3-L3</f>
        <v>0</v>
      </c>
    </row>
    <row r="4">
      <c r="A4" s="25">
        <v>2.0</v>
      </c>
      <c r="B4" s="22" t="str">
        <f>'Requirement List'!C3</f>
        <v>XYZ</v>
      </c>
      <c r="C4" s="23">
        <f>COUNTIFS('Defect Report'!$D:$D,'Defect Severity Distribution'!$B4,'Defect Report'!$G:$G,C$2)</f>
        <v>0</v>
      </c>
      <c r="D4" s="23">
        <f>COUNTIFS('Defect Report'!$D:$D,'Defect Severity Distribution'!$B4,'Defect Report'!$G:$G,D$2)</f>
        <v>0</v>
      </c>
      <c r="E4" s="23">
        <f>COUNTIFS('Defect Report'!$D:$D,'Defect Severity Distribution'!$B4,'Defect Report'!$G:$G,E$2)</f>
        <v>0</v>
      </c>
      <c r="F4" s="23">
        <f>COUNTIFS('Defect Report'!$D:$D,'Defect Severity Distribution'!$B4,'Defect Report'!$G:$G,F$2)</f>
        <v>1</v>
      </c>
      <c r="G4" s="23">
        <f>COUNTIFS('Defect Report'!$D:$D,'Defect Severity Distribution'!$B4,'Defect Report'!$G:$G,G$2)</f>
        <v>0</v>
      </c>
      <c r="H4" s="23">
        <f>COUNTIFS('Defect Report'!$D:$D,'Defect Severity Distribution'!$B4,'Defect Report'!$G:$G,H$2)</f>
        <v>0</v>
      </c>
      <c r="I4" s="23">
        <f>COUNTIFS('Defect Report'!$D:$D,'Defect Severity Distribution'!$B4,'Defect Report'!$G:$G,I$2)</f>
        <v>0</v>
      </c>
      <c r="J4" s="23">
        <f>COUNTIFS('Defect Report'!$D:$D,'Defect Severity Distribution'!$B4,'Defect Report'!$G:$G,J$2)</f>
        <v>0</v>
      </c>
      <c r="K4" s="24">
        <f t="shared" si="1"/>
        <v>1</v>
      </c>
      <c r="L4" s="23">
        <f>COUNTIFS('Defect Report'!$D:$D,'Defect Severity Distribution'!$B4,'Defect Report'!$C:$C,"Closed")</f>
        <v>1</v>
      </c>
      <c r="M4" s="23">
        <f t="shared" si="2"/>
        <v>0</v>
      </c>
    </row>
    <row r="5">
      <c r="A5" s="25">
        <v>3.0</v>
      </c>
      <c r="B5" s="22" t="str">
        <f>'Requirement List'!C4</f>
        <v>Manage Client</v>
      </c>
      <c r="C5" s="23">
        <f>COUNTIFS('Defect Report'!$D:$D,'Defect Severity Distribution'!$B5,'Defect Report'!$G:$G,C$2)</f>
        <v>0</v>
      </c>
      <c r="D5" s="23">
        <f>COUNTIFS('Defect Report'!$D:$D,'Defect Severity Distribution'!$B5,'Defect Report'!$G:$G,D$2)</f>
        <v>0</v>
      </c>
      <c r="E5" s="23">
        <f>COUNTIFS('Defect Report'!$D:$D,'Defect Severity Distribution'!$B5,'Defect Report'!$G:$G,E$2)</f>
        <v>1</v>
      </c>
      <c r="F5" s="23">
        <f>COUNTIFS('Defect Report'!$D:$D,'Defect Severity Distribution'!$B5,'Defect Report'!$G:$G,F$2)</f>
        <v>0</v>
      </c>
      <c r="G5" s="23">
        <f>COUNTIFS('Defect Report'!$D:$D,'Defect Severity Distribution'!$B5,'Defect Report'!$G:$G,G$2)</f>
        <v>0</v>
      </c>
      <c r="H5" s="23">
        <f>COUNTIFS('Defect Report'!$D:$D,'Defect Severity Distribution'!$B5,'Defect Report'!$G:$G,H$2)</f>
        <v>0</v>
      </c>
      <c r="I5" s="23">
        <f>COUNTIFS('Defect Report'!$D:$D,'Defect Severity Distribution'!$B5,'Defect Report'!$G:$G,I$2)</f>
        <v>0</v>
      </c>
      <c r="J5" s="23">
        <f>COUNTIFS('Defect Report'!$D:$D,'Defect Severity Distribution'!$B5,'Defect Report'!$G:$G,J$2)</f>
        <v>0</v>
      </c>
      <c r="K5" s="24">
        <f t="shared" si="1"/>
        <v>1</v>
      </c>
      <c r="L5" s="23">
        <f>COUNTIFS('Defect Report'!$D:$D,'Defect Severity Distribution'!$B5,'Defect Report'!$C:$C,"Closed")</f>
        <v>0</v>
      </c>
      <c r="M5" s="23">
        <f t="shared" si="2"/>
        <v>1</v>
      </c>
    </row>
    <row r="6">
      <c r="A6" s="26" t="s">
        <v>11</v>
      </c>
      <c r="B6" s="27" t="s">
        <v>46</v>
      </c>
      <c r="C6" s="28">
        <f t="shared" ref="C6:M6" si="3">SUM(C3:C5)</f>
        <v>0</v>
      </c>
      <c r="D6" s="28">
        <f t="shared" si="3"/>
        <v>0</v>
      </c>
      <c r="E6" s="28">
        <f t="shared" si="3"/>
        <v>1</v>
      </c>
      <c r="F6" s="28">
        <f t="shared" si="3"/>
        <v>1</v>
      </c>
      <c r="G6" s="28">
        <f t="shared" si="3"/>
        <v>0</v>
      </c>
      <c r="H6" s="28">
        <f t="shared" si="3"/>
        <v>0</v>
      </c>
      <c r="I6" s="28">
        <f t="shared" si="3"/>
        <v>0</v>
      </c>
      <c r="J6" s="28">
        <f t="shared" si="3"/>
        <v>0</v>
      </c>
      <c r="K6" s="28">
        <f t="shared" si="3"/>
        <v>2</v>
      </c>
      <c r="L6" s="28">
        <f t="shared" si="3"/>
        <v>1</v>
      </c>
      <c r="M6" s="28">
        <f t="shared" si="3"/>
        <v>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</sheetData>
  <mergeCells count="1">
    <mergeCell ref="A1:M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17.5"/>
    <col customWidth="1" min="4" max="4" width="21.13"/>
  </cols>
  <sheetData>
    <row r="1">
      <c r="A1" s="19" t="s">
        <v>49</v>
      </c>
      <c r="B1" s="20"/>
      <c r="C1" s="20"/>
      <c r="D1" s="20"/>
      <c r="E1" s="20"/>
      <c r="F1" s="20"/>
      <c r="G1" s="20"/>
    </row>
    <row r="2">
      <c r="A2" s="29" t="s">
        <v>50</v>
      </c>
      <c r="B2" s="29" t="s">
        <v>51</v>
      </c>
      <c r="C2" s="29" t="s">
        <v>29</v>
      </c>
      <c r="D2" s="29" t="s">
        <v>52</v>
      </c>
      <c r="E2" s="29" t="s">
        <v>53</v>
      </c>
      <c r="F2" s="29" t="s">
        <v>54</v>
      </c>
      <c r="G2" s="30" t="s">
        <v>55</v>
      </c>
    </row>
    <row r="3">
      <c r="A3" s="31" t="s">
        <v>31</v>
      </c>
      <c r="B3" s="32">
        <f>COUNTIFS('Defect Report'!$L:$L,$A3,'Defect Report'!$I:$I,B$2)</f>
        <v>0</v>
      </c>
      <c r="C3" s="32">
        <f>COUNTIFS('Defect Report'!$L:$L,$A3,'Defect Report'!$I:$I,C$2)</f>
        <v>1</v>
      </c>
      <c r="D3" s="32">
        <f>COUNTIFS('Defect Report'!$L:$L,$A3,'Defect Report'!$I:$I,D$2)</f>
        <v>0</v>
      </c>
      <c r="E3" s="32">
        <f>COUNTIFS('Defect Report'!$L:$L,$A3,'Defect Report'!$I:$I,E$2)</f>
        <v>0</v>
      </c>
      <c r="F3" s="32">
        <f>COUNTIFS('Defect Report'!$L:$L,$A3,'Defect Report'!$I:$I,F$2)</f>
        <v>0</v>
      </c>
      <c r="G3" s="33">
        <f t="shared" ref="G3:G5" si="1">sum(B3:F3)</f>
        <v>1</v>
      </c>
    </row>
    <row r="4">
      <c r="A4" s="31" t="s">
        <v>36</v>
      </c>
      <c r="B4" s="32">
        <f>COUNTIFS('Defect Report'!$L:$L,$A4,'Defect Report'!$I:$I,B$2)</f>
        <v>0</v>
      </c>
      <c r="C4" s="32">
        <f>COUNTIFS('Defect Report'!$L:$L,$A4,'Defect Report'!$I:$I,C$2)</f>
        <v>1</v>
      </c>
      <c r="D4" s="32">
        <f>COUNTIFS('Defect Report'!$L:$L,$A4,'Defect Report'!$I:$I,D$2)</f>
        <v>0</v>
      </c>
      <c r="E4" s="32">
        <f>COUNTIFS('Defect Report'!$L:$L,$A4,'Defect Report'!$I:$I,E$2)</f>
        <v>0</v>
      </c>
      <c r="F4" s="32">
        <f>COUNTIFS('Defect Report'!$L:$L,$A4,'Defect Report'!$I:$I,F$2)</f>
        <v>0</v>
      </c>
      <c r="G4" s="33">
        <f t="shared" si="1"/>
        <v>1</v>
      </c>
    </row>
    <row r="5">
      <c r="A5" s="31" t="s">
        <v>56</v>
      </c>
      <c r="B5" s="32">
        <f>COUNTIFS('Defect Report'!$L:$L,$A5,'Defect Report'!$I:$I,B$2)</f>
        <v>0</v>
      </c>
      <c r="C5" s="32">
        <f>COUNTIFS('Defect Report'!$L:$L,$A5,'Defect Report'!$I:$I,C$2)</f>
        <v>0</v>
      </c>
      <c r="D5" s="32">
        <f>COUNTIFS('Defect Report'!$L:$L,$A5,'Defect Report'!$I:$I,D$2)</f>
        <v>0</v>
      </c>
      <c r="E5" s="32">
        <f>COUNTIFS('Defect Report'!$L:$L,$A5,'Defect Report'!$I:$I,E$2)</f>
        <v>0</v>
      </c>
      <c r="F5" s="32">
        <f>COUNTIFS('Defect Report'!$L:$L,$A5,'Defect Report'!$I:$I,F$2)</f>
        <v>0</v>
      </c>
      <c r="G5" s="33">
        <f t="shared" si="1"/>
        <v>0</v>
      </c>
    </row>
    <row r="6">
      <c r="A6" s="34" t="s">
        <v>46</v>
      </c>
      <c r="B6" s="35">
        <f>sum(G3:G5)</f>
        <v>2</v>
      </c>
      <c r="C6" s="36"/>
      <c r="D6" s="36"/>
      <c r="E6" s="36"/>
      <c r="F6" s="36"/>
      <c r="G6" s="37"/>
    </row>
    <row r="7">
      <c r="A7" s="38"/>
      <c r="B7" s="38"/>
      <c r="C7" s="38"/>
      <c r="D7" s="38"/>
      <c r="E7" s="38"/>
      <c r="F7" s="38"/>
      <c r="G7" s="38"/>
    </row>
    <row r="8">
      <c r="A8" s="39" t="s">
        <v>57</v>
      </c>
      <c r="B8" s="36"/>
      <c r="C8" s="37"/>
      <c r="E8" s="38"/>
      <c r="F8" s="38"/>
      <c r="G8" s="38"/>
    </row>
    <row r="9">
      <c r="A9" s="29" t="s">
        <v>50</v>
      </c>
      <c r="B9" s="30" t="s">
        <v>58</v>
      </c>
      <c r="C9" s="30" t="s">
        <v>59</v>
      </c>
      <c r="E9" s="38"/>
      <c r="F9" s="38"/>
      <c r="G9" s="38"/>
    </row>
    <row r="10">
      <c r="A10" s="31" t="s">
        <v>31</v>
      </c>
      <c r="B10" s="32">
        <f>countifs('Defect Report'!$L:$L,$A10,'Defect Report'!$K:$K,TODAY())</f>
        <v>0</v>
      </c>
      <c r="C10" s="32">
        <f>countifs('Defect Report'!$L:$L,$A10,'Defect Report'!$B:$B,"&lt;&gt;""")</f>
        <v>1</v>
      </c>
      <c r="E10" s="38"/>
      <c r="F10" s="38"/>
      <c r="G10" s="38"/>
    </row>
    <row r="11">
      <c r="A11" s="31" t="s">
        <v>36</v>
      </c>
      <c r="B11" s="32">
        <f>countifs('Defect Report'!$L:$L,$A11,'Defect Report'!$K:$K,TODAY())</f>
        <v>0</v>
      </c>
      <c r="C11" s="32">
        <f>countifs('Defect Report'!$L:$L,$A11,'Defect Report'!$B:$B,"&lt;&gt;""")</f>
        <v>1</v>
      </c>
      <c r="E11" s="38"/>
      <c r="F11" s="38"/>
      <c r="G11" s="38"/>
    </row>
    <row r="12">
      <c r="A12" s="31" t="s">
        <v>56</v>
      </c>
      <c r="B12" s="32">
        <f>countifs('Defect Report'!$L:$L,$A12,'Defect Report'!$K:$K,TODAY())</f>
        <v>0</v>
      </c>
      <c r="C12" s="32">
        <f>countifs('Defect Report'!$L:$L,$A12,'Defect Report'!$B:$B,"&lt;&gt;""")</f>
        <v>0</v>
      </c>
      <c r="E12" s="38"/>
      <c r="F12" s="38"/>
      <c r="G12" s="38"/>
    </row>
    <row r="13">
      <c r="A13" s="34" t="s">
        <v>46</v>
      </c>
      <c r="B13" s="40">
        <f t="shared" ref="B13:C13" si="2">sum(B10:B12)</f>
        <v>0</v>
      </c>
      <c r="C13" s="40">
        <f t="shared" si="2"/>
        <v>2</v>
      </c>
      <c r="E13" s="38"/>
      <c r="F13" s="38"/>
      <c r="G13" s="38"/>
    </row>
    <row r="14">
      <c r="A14" s="38"/>
      <c r="B14" s="38"/>
      <c r="C14" s="38"/>
      <c r="D14" s="38"/>
      <c r="E14" s="38"/>
      <c r="F14" s="38"/>
      <c r="G14" s="38"/>
    </row>
    <row r="15">
      <c r="A15" s="39" t="s">
        <v>60</v>
      </c>
      <c r="B15" s="36"/>
      <c r="C15" s="36"/>
      <c r="D15" s="36"/>
      <c r="E15" s="37"/>
      <c r="F15" s="38"/>
      <c r="G15" s="38"/>
    </row>
    <row r="16">
      <c r="A16" s="29" t="s">
        <v>22</v>
      </c>
      <c r="B16" s="30" t="s">
        <v>61</v>
      </c>
      <c r="C16" s="30" t="s">
        <v>62</v>
      </c>
      <c r="D16" s="30" t="s">
        <v>63</v>
      </c>
      <c r="E16" s="30" t="s">
        <v>20</v>
      </c>
      <c r="F16" s="38"/>
      <c r="G16" s="38"/>
    </row>
    <row r="17">
      <c r="A17" s="31" t="s">
        <v>32</v>
      </c>
      <c r="B17" s="32">
        <f>countifs( 'Defect Report'!$B:$B,"&lt;&gt;""", 'Defect Report'!$M:$M,$A17)</f>
        <v>2</v>
      </c>
      <c r="C17" s="32">
        <f>countifs('Defect Report'!$C:$C,"Closed", 'Defect Report'!$M:$M,$A17)</f>
        <v>1</v>
      </c>
      <c r="D17" s="32">
        <f>countifs('Defect Report'!$C:$C,"Reopened", 'Defect Report'!$M:$M,$A17)</f>
        <v>0</v>
      </c>
      <c r="E17" s="41"/>
      <c r="F17" s="38"/>
      <c r="G17" s="38"/>
    </row>
    <row r="18">
      <c r="A18" s="31" t="s">
        <v>64</v>
      </c>
      <c r="B18" s="32">
        <f>countifs( 'Defect Report'!$B:$B,"&lt;&gt;""", 'Defect Report'!$M:$M,$A18)</f>
        <v>0</v>
      </c>
      <c r="C18" s="32">
        <f>countifs('Defect Report'!$C:$C,"Closed", 'Defect Report'!$M:$M,$A18)</f>
        <v>0</v>
      </c>
      <c r="D18" s="32">
        <f>countifs('Defect Report'!$C:$C,"Reopened", 'Defect Report'!$M:$M,$A18)</f>
        <v>0</v>
      </c>
      <c r="E18" s="41"/>
      <c r="F18" s="38"/>
      <c r="G18" s="38"/>
    </row>
    <row r="19">
      <c r="A19" s="31" t="s">
        <v>65</v>
      </c>
      <c r="B19" s="32">
        <f>countifs( 'Defect Report'!$B:$B,"&lt;&gt;""", 'Defect Report'!$M:$M,$A19)</f>
        <v>0</v>
      </c>
      <c r="C19" s="32">
        <f>countifs('Defect Report'!$C:$C,"Closed", 'Defect Report'!$M:$M,$A19)</f>
        <v>0</v>
      </c>
      <c r="D19" s="32">
        <f>countifs('Defect Report'!$C:$C,"Reopened", 'Defect Report'!$M:$M,$A19)</f>
        <v>0</v>
      </c>
      <c r="E19" s="41"/>
      <c r="F19" s="38"/>
      <c r="G19" s="38"/>
    </row>
    <row r="20">
      <c r="A20" s="34" t="s">
        <v>46</v>
      </c>
      <c r="B20" s="40">
        <f t="shared" ref="B20:D20" si="3">sum(B17:B19)</f>
        <v>2</v>
      </c>
      <c r="C20" s="40">
        <f t="shared" si="3"/>
        <v>1</v>
      </c>
      <c r="D20" s="40">
        <f t="shared" si="3"/>
        <v>0</v>
      </c>
      <c r="E20" s="42"/>
      <c r="F20" s="38"/>
      <c r="G20" s="38"/>
    </row>
  </sheetData>
  <mergeCells count="4">
    <mergeCell ref="A1:G1"/>
    <mergeCell ref="B6:G6"/>
    <mergeCell ref="A8:C8"/>
    <mergeCell ref="A15:E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4" max="4" width="18.5"/>
    <col customWidth="1" min="5" max="5" width="15.5"/>
  </cols>
  <sheetData>
    <row r="1">
      <c r="A1" s="43" t="s">
        <v>66</v>
      </c>
      <c r="B1" s="43" t="s">
        <v>67</v>
      </c>
      <c r="C1" s="43" t="s">
        <v>68</v>
      </c>
      <c r="D1" s="44" t="s">
        <v>69</v>
      </c>
      <c r="E1" s="44" t="s">
        <v>70</v>
      </c>
      <c r="F1" s="44" t="s">
        <v>71</v>
      </c>
    </row>
    <row r="2">
      <c r="A2" s="45">
        <v>123.0</v>
      </c>
      <c r="B2" s="44" t="s">
        <v>72</v>
      </c>
      <c r="C2" s="44"/>
      <c r="D2" s="44" t="s">
        <v>73</v>
      </c>
      <c r="E2" s="46"/>
      <c r="F2" s="46"/>
    </row>
    <row r="3">
      <c r="A3" s="46"/>
      <c r="B3" s="46"/>
      <c r="C3" s="46"/>
      <c r="D3" s="46"/>
      <c r="E3" s="46"/>
      <c r="F3" s="46"/>
    </row>
    <row r="4">
      <c r="A4" s="46"/>
      <c r="B4" s="46"/>
      <c r="C4" s="46"/>
      <c r="D4" s="46"/>
      <c r="E4" s="46"/>
      <c r="F4" s="46"/>
    </row>
    <row r="5">
      <c r="A5" s="46"/>
      <c r="B5" s="46"/>
      <c r="C5" s="46"/>
      <c r="D5" s="46"/>
      <c r="E5" s="46"/>
      <c r="F5" s="4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65.63"/>
  </cols>
  <sheetData>
    <row r="1">
      <c r="A1" s="1" t="s">
        <v>18</v>
      </c>
      <c r="B1" s="38"/>
    </row>
    <row r="2">
      <c r="A2" s="47" t="s">
        <v>51</v>
      </c>
      <c r="B2" s="38"/>
    </row>
    <row r="3">
      <c r="A3" s="47" t="s">
        <v>29</v>
      </c>
      <c r="B3" s="38"/>
    </row>
    <row r="4">
      <c r="A4" s="47" t="s">
        <v>52</v>
      </c>
      <c r="B4" s="38"/>
    </row>
    <row r="5">
      <c r="A5" s="47" t="s">
        <v>53</v>
      </c>
      <c r="B5" s="38"/>
    </row>
    <row r="6">
      <c r="A6" s="47" t="s">
        <v>54</v>
      </c>
      <c r="B6" s="38"/>
    </row>
    <row r="7">
      <c r="A7" s="38"/>
      <c r="B7" s="38"/>
    </row>
    <row r="8">
      <c r="A8" s="1" t="s">
        <v>74</v>
      </c>
      <c r="B8" s="38"/>
      <c r="C8" s="48" t="s">
        <v>75</v>
      </c>
    </row>
    <row r="9">
      <c r="A9" s="47" t="s">
        <v>24</v>
      </c>
      <c r="B9" s="49" t="s">
        <v>76</v>
      </c>
      <c r="C9" s="48" t="s">
        <v>77</v>
      </c>
    </row>
    <row r="10">
      <c r="A10" s="47" t="s">
        <v>34</v>
      </c>
      <c r="B10" s="49" t="s">
        <v>78</v>
      </c>
    </row>
    <row r="11">
      <c r="A11" s="47" t="s">
        <v>79</v>
      </c>
      <c r="B11" s="49"/>
    </row>
    <row r="12">
      <c r="A12" s="38"/>
      <c r="B12" s="38"/>
    </row>
    <row r="13">
      <c r="A13" s="38"/>
      <c r="B13" s="38"/>
    </row>
    <row r="14">
      <c r="A14" s="1" t="s">
        <v>16</v>
      </c>
      <c r="B14" s="1" t="s">
        <v>80</v>
      </c>
    </row>
    <row r="15">
      <c r="A15" s="47" t="s">
        <v>40</v>
      </c>
      <c r="B15" s="47" t="s">
        <v>81</v>
      </c>
    </row>
    <row r="16">
      <c r="A16" s="47" t="s">
        <v>41</v>
      </c>
      <c r="B16" s="47" t="s">
        <v>82</v>
      </c>
    </row>
    <row r="17">
      <c r="A17" s="47" t="s">
        <v>27</v>
      </c>
      <c r="B17" s="47" t="s">
        <v>83</v>
      </c>
    </row>
    <row r="18">
      <c r="A18" s="47" t="s">
        <v>35</v>
      </c>
      <c r="B18" s="47" t="s">
        <v>84</v>
      </c>
    </row>
    <row r="19">
      <c r="A19" s="47" t="s">
        <v>42</v>
      </c>
      <c r="B19" s="47" t="s">
        <v>85</v>
      </c>
    </row>
    <row r="20">
      <c r="A20" s="47" t="s">
        <v>43</v>
      </c>
      <c r="B20" s="47" t="s">
        <v>86</v>
      </c>
    </row>
    <row r="21">
      <c r="A21" s="47" t="s">
        <v>44</v>
      </c>
      <c r="B21" s="47" t="s">
        <v>87</v>
      </c>
    </row>
    <row r="22">
      <c r="A22" s="47" t="s">
        <v>45</v>
      </c>
      <c r="B22" s="47" t="s">
        <v>88</v>
      </c>
    </row>
    <row r="23">
      <c r="A23" s="38"/>
      <c r="B23" s="38"/>
    </row>
    <row r="24">
      <c r="A24" s="1" t="s">
        <v>17</v>
      </c>
      <c r="B24" s="38"/>
    </row>
    <row r="25">
      <c r="A25" s="47" t="s">
        <v>28</v>
      </c>
      <c r="B25" s="38"/>
    </row>
    <row r="26">
      <c r="A26" s="47" t="s">
        <v>89</v>
      </c>
      <c r="B26" s="38"/>
    </row>
    <row r="27">
      <c r="A27" s="47" t="s">
        <v>90</v>
      </c>
      <c r="B27" s="38"/>
    </row>
    <row r="28">
      <c r="A28" s="47" t="s">
        <v>91</v>
      </c>
    </row>
    <row r="29">
      <c r="A29" s="47" t="s">
        <v>92</v>
      </c>
    </row>
    <row r="30">
      <c r="A30" s="47" t="s">
        <v>93</v>
      </c>
    </row>
  </sheetData>
  <drawing r:id="rId1"/>
</worksheet>
</file>