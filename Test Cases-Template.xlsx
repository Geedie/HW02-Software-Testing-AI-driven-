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 List" sheetId="1" r:id="rId5"/>
    <sheet state="visible" name="Test Types" sheetId="2" r:id="rId6"/>
    <sheet state="visible" name="Test Cases" sheetId="3" r:id="rId7"/>
    <sheet state="visible" name="Prompt History" sheetId="4" r:id="rId8"/>
    <sheet state="visible" name="Test Summary Report" sheetId="5" r:id="rId9"/>
    <sheet state="visible" name="Legend" sheetId="6" r:id="rId10"/>
  </sheets>
  <definedNames/>
  <calcPr/>
</workbook>
</file>

<file path=xl/sharedStrings.xml><?xml version="1.0" encoding="utf-8"?>
<sst xmlns="http://schemas.openxmlformats.org/spreadsheetml/2006/main" count="136" uniqueCount="95">
  <si>
    <t>No.</t>
  </si>
  <si>
    <t>ID</t>
  </si>
  <si>
    <t>Requirement Name</t>
  </si>
  <si>
    <t>Details</t>
  </si>
  <si>
    <t>Remark</t>
  </si>
  <si>
    <t>Number of TCs</t>
  </si>
  <si>
    <t>R001</t>
  </si>
  <si>
    <t>Home</t>
  </si>
  <si>
    <t>Hiển thị thông tin tất cả các Article (trang chủ - Home). Thông tin một article bao gồm hình đại diện, tiêu đề và mô tả tóm tắt, 1 dòng hiển thị tối đa 3 articles.</t>
  </si>
  <si>
    <t>R002</t>
  </si>
  <si>
    <t>Login</t>
  </si>
  <si>
    <t>R003</t>
  </si>
  <si>
    <t>Manage Client</t>
  </si>
  <si>
    <t>&lt;&lt;&lt; Insert New Line above this line &gt;&gt;&gt;</t>
  </si>
  <si>
    <t>Total</t>
  </si>
  <si>
    <t>Test Type</t>
  </si>
  <si>
    <t>Functional</t>
  </si>
  <si>
    <t>Functional Testing</t>
  </si>
  <si>
    <t>Security</t>
  </si>
  <si>
    <t>Security Testing</t>
  </si>
  <si>
    <t>GUI&amp;Usability</t>
  </si>
  <si>
    <t>GUI &amp; Usability Testing</t>
  </si>
  <si>
    <t>Performance</t>
  </si>
  <si>
    <t>Performance Testing</t>
  </si>
  <si>
    <t>Compatibility</t>
  </si>
  <si>
    <t>Compatibility Testing</t>
  </si>
  <si>
    <t>Test Execution 2 (Build 1-fixed)</t>
  </si>
  <si>
    <t>Test Execution 1 (Build 1)</t>
  </si>
  <si>
    <t>Test Case ID</t>
  </si>
  <si>
    <t>Build/Release</t>
  </si>
  <si>
    <t>Test case name/Objective</t>
  </si>
  <si>
    <t>Precondition</t>
  </si>
  <si>
    <t>Test steps</t>
  </si>
  <si>
    <t>Test Data</t>
  </si>
  <si>
    <t>Expected Result</t>
  </si>
  <si>
    <t>Created By</t>
  </si>
  <si>
    <t>AI Generated</t>
  </si>
  <si>
    <t>Actual Result</t>
  </si>
  <si>
    <t>Status</t>
  </si>
  <si>
    <t>Bug ID</t>
  </si>
  <si>
    <t>Tester</t>
  </si>
  <si>
    <t>Tested Date</t>
  </si>
  <si>
    <t>Login-TC001</t>
  </si>
  <si>
    <t>Blank username</t>
  </si>
  <si>
    <t>1. Enter User Name
 2.Enter Password
 3. Click "Ok" button</t>
  </si>
  <si>
    <t xml:space="preserve">Username: "", Password: "abcd"
</t>
  </si>
  <si>
    <t>Student ID1</t>
  </si>
  <si>
    <t>as expected</t>
  </si>
  <si>
    <t>Passed</t>
  </si>
  <si>
    <t>Login-TC002</t>
  </si>
  <si>
    <t>Check Login fail with blank Password</t>
  </si>
  <si>
    <t>User Name : "abcd", Password: ""</t>
  </si>
  <si>
    <t>XYZ</t>
  </si>
  <si>
    <t>Failed</t>
  </si>
  <si>
    <t>BugID</t>
  </si>
  <si>
    <t>Manage Client-TC001</t>
  </si>
  <si>
    <t>Verify that 'Manage Clients' page is loaded and display client list</t>
  </si>
  <si>
    <t xml:space="preserve">Test environment: 
 - Platform: FF 5.0, Win7
 - Server: http://123.30.67.51/mambo/build1
Steps: 
  1. Click on menu Components &gt; Banners &gt; Manage Clients
  2. Verify that 'Manage Clients' page is loaded and display client list
  3. Click on 'New' button in the top right of page
  4. Verify that 'Manage Clients: New' page is loaded
 </t>
  </si>
  <si>
    <t>Student ID3</t>
  </si>
  <si>
    <t>Student ID</t>
  </si>
  <si>
    <t>AI Tool</t>
  </si>
  <si>
    <t>Prompt Link</t>
  </si>
  <si>
    <t>Verdict</t>
  </si>
  <si>
    <t>Reasoning (ISTQB)</t>
  </si>
  <si>
    <t>Student Fix</t>
  </si>
  <si>
    <t>ChatGPT/Gemini/Copilot</t>
  </si>
  <si>
    <t>Incomplete/Valid/Invalid</t>
  </si>
  <si>
    <t>TEST SUMMARY REPORT</t>
  </si>
  <si>
    <t>Project Name</t>
  </si>
  <si>
    <t>&lt;Project Name&gt;</t>
  </si>
  <si>
    <t>Reviewer</t>
  </si>
  <si>
    <t>&lt;Reviewer&gt;</t>
  </si>
  <si>
    <t>Creator</t>
  </si>
  <si>
    <t>&lt;Creator&gt;</t>
  </si>
  <si>
    <t>Approver</t>
  </si>
  <si>
    <t>&lt;Approver&gt;</t>
  </si>
  <si>
    <t>Note</t>
  </si>
  <si>
    <t>Test Coverage:</t>
  </si>
  <si>
    <t>Successful Test Coverage:</t>
  </si>
  <si>
    <t>Date:</t>
  </si>
  <si>
    <t>&lt;yyyy/mm/dd&gt;</t>
  </si>
  <si>
    <t>No</t>
  </si>
  <si>
    <t>Requirement ID</t>
  </si>
  <si>
    <t>Requirement name</t>
  </si>
  <si>
    <t>Tested</t>
  </si>
  <si>
    <t>Blocked</t>
  </si>
  <si>
    <t>Skipped</t>
  </si>
  <si>
    <t>Not Yet Tested</t>
  </si>
  <si>
    <t>Tested Coverage</t>
  </si>
  <si>
    <t>Test Case Status</t>
  </si>
  <si>
    <t>Expected = Actual</t>
  </si>
  <si>
    <t>Expected &lt;&gt; Actual</t>
  </si>
  <si>
    <t>=&gt; Bug ID</t>
  </si>
  <si>
    <t>Can not test</t>
  </si>
  <si>
    <t>Do not need to test 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</si>
</sst>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6">
    <font>
      <sz val="10.0"/>
      <color rgb="FF000000"/>
      <name val="Arial"/>
      <scheme val="minor"/>
    </font>
    <font>
      <b/>
      <color theme="1"/>
      <name val="Arial"/>
    </font>
    <font>
      <sz val="11.0"/>
      <color rgb="FF000000"/>
      <name val="Calibri"/>
    </font>
    <font>
      <b/>
      <color rgb="FFFF0000"/>
      <name val="Arial"/>
    </font>
    <font>
      <color theme="1"/>
      <name val="Arial"/>
      <scheme val="minor"/>
    </font>
    <font>
      <b/>
      <sz val="12.0"/>
      <color rgb="FFFF0000"/>
      <name val="Arial"/>
    </font>
    <font/>
    <font>
      <color theme="1"/>
      <name val="Arial"/>
    </font>
    <font>
      <b/>
      <sz val="14.0"/>
      <color theme="1"/>
      <name val="Calibri"/>
    </font>
    <font>
      <b/>
      <sz val="11.0"/>
      <color rgb="FF974806"/>
      <name val="Calibri"/>
    </font>
    <font>
      <sz val="11.0"/>
      <color theme="1"/>
      <name val="Calibri"/>
    </font>
    <font>
      <b/>
      <sz val="11.0"/>
      <color rgb="FF953734"/>
      <name val="Calibri"/>
    </font>
    <font>
      <b/>
      <i/>
      <sz val="11.0"/>
      <color theme="1"/>
      <name val="Calibri"/>
    </font>
    <font>
      <b/>
      <sz val="11.0"/>
      <color rgb="FF3366FF"/>
      <name val="Calibri"/>
    </font>
    <font>
      <i/>
      <sz val="11.0"/>
      <color theme="1"/>
      <name val="Calibri"/>
    </font>
    <font>
      <b/>
      <color rgb="FFFF99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vertical="center"/>
    </xf>
    <xf borderId="2" fillId="3" fontId="3" numFmtId="0" xfId="0" applyAlignment="1" applyBorder="1" applyFill="1" applyFont="1">
      <alignment readingOrder="0" shrinkToFit="0" vertical="center" wrapText="0"/>
    </xf>
    <xf borderId="2" fillId="3" fontId="1" numFmtId="0" xfId="0" applyAlignment="1" applyBorder="1" applyFont="1">
      <alignment readingOrder="0" shrinkToFit="0" vertical="center" wrapText="0"/>
    </xf>
    <xf borderId="2" fillId="3" fontId="5" numFmtId="0" xfId="0" applyAlignment="1" applyBorder="1" applyFont="1">
      <alignment readingOrder="0" shrinkToFit="0" vertical="center" wrapText="0"/>
    </xf>
    <xf borderId="2" fillId="3" fontId="3" numFmtId="0" xfId="0" applyAlignment="1" applyBorder="1" applyFont="1">
      <alignment readingOrder="0" shrinkToFit="0" vertical="bottom" wrapText="0"/>
    </xf>
    <xf borderId="2" fillId="3" fontId="5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1"/>
    </xf>
    <xf borderId="3" fillId="4" fontId="1" numFmtId="0" xfId="0" applyAlignment="1" applyBorder="1" applyFill="1" applyFont="1">
      <alignment horizontal="center" readingOrder="0" shrinkToFit="0" vertical="bottom" wrapText="0"/>
    </xf>
    <xf borderId="3" fillId="0" fontId="6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right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0"/>
    </xf>
    <xf borderId="1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vertical="top"/>
    </xf>
    <xf borderId="2" fillId="5" fontId="2" numFmtId="0" xfId="0" applyAlignment="1" applyBorder="1" applyFill="1" applyFont="1">
      <alignment readingOrder="0" vertical="top"/>
    </xf>
    <xf borderId="2" fillId="5" fontId="2" numFmtId="0" xfId="0" applyAlignment="1" applyBorder="1" applyFont="1">
      <alignment readingOrder="0" shrinkToFit="0" vertical="top" wrapText="0"/>
    </xf>
    <xf borderId="2" fillId="5" fontId="2" numFmtId="0" xfId="0" applyAlignment="1" applyBorder="1" applyFont="1">
      <alignment shrinkToFit="0" vertical="top" wrapText="0"/>
    </xf>
    <xf borderId="4" fillId="5" fontId="7" numFmtId="164" xfId="0" applyAlignment="1" applyBorder="1" applyFont="1" applyNumberFormat="1">
      <alignment horizontal="center" readingOrder="0" shrinkToFit="0" vertical="top" wrapText="0"/>
    </xf>
    <xf borderId="2" fillId="5" fontId="2" numFmtId="0" xfId="0" applyAlignment="1" applyBorder="1" applyFont="1">
      <alignment vertical="top"/>
    </xf>
    <xf borderId="0" fillId="0" fontId="4" numFmtId="0" xfId="0" applyAlignment="1" applyFont="1">
      <alignment vertical="top"/>
    </xf>
    <xf borderId="1" fillId="5" fontId="2" numFmtId="0" xfId="0" applyAlignment="1" applyBorder="1" applyFont="1">
      <alignment readingOrder="0" vertical="top"/>
    </xf>
    <xf borderId="1" fillId="5" fontId="2" numFmtId="0" xfId="0" applyAlignment="1" applyBorder="1" applyFont="1">
      <alignment readingOrder="0" shrinkToFit="0" vertical="top" wrapText="0"/>
    </xf>
    <xf borderId="1" fillId="5" fontId="2" numFmtId="0" xfId="0" applyAlignment="1" applyBorder="1" applyFont="1">
      <alignment shrinkToFit="0" vertical="top" wrapText="0"/>
    </xf>
    <xf borderId="1" fillId="5" fontId="2" numFmtId="0" xfId="0" applyAlignment="1" applyBorder="1" applyFont="1">
      <alignment vertical="top"/>
    </xf>
    <xf borderId="1" fillId="5" fontId="2" numFmtId="0" xfId="0" applyAlignment="1" applyBorder="1" applyFont="1">
      <alignment readingOrder="0" shrinkToFit="0" vertical="top" wrapText="1"/>
    </xf>
    <xf borderId="2" fillId="3" fontId="3" numFmtId="0" xfId="0" applyAlignment="1" applyBorder="1" applyFont="1">
      <alignment readingOrder="0" shrinkToFit="0" vertical="top" wrapText="0"/>
    </xf>
    <xf borderId="2" fillId="3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readingOrder="0" vertical="bottom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5" fillId="0" fontId="8" numFmtId="0" xfId="0" applyAlignment="1" applyBorder="1" applyFont="1">
      <alignment horizontal="center" vertical="bottom"/>
    </xf>
    <xf borderId="6" fillId="0" fontId="6" numFmtId="0" xfId="0" applyBorder="1" applyFont="1"/>
    <xf borderId="7" fillId="0" fontId="6" numFmtId="0" xfId="0" applyBorder="1" applyFont="1"/>
    <xf borderId="8" fillId="0" fontId="9" numFmtId="0" xfId="0" applyAlignment="1" applyBorder="1" applyFont="1">
      <alignment horizontal="right" vertical="bottom"/>
    </xf>
    <xf borderId="4" fillId="0" fontId="6" numFmtId="0" xfId="0" applyBorder="1" applyFont="1"/>
    <xf borderId="3" fillId="0" fontId="10" numFmtId="0" xfId="0" applyAlignment="1" applyBorder="1" applyFont="1">
      <alignment horizontal="center" vertical="bottom"/>
    </xf>
    <xf borderId="3" fillId="0" fontId="9" numFmtId="0" xfId="0" applyAlignment="1" applyBorder="1" applyFont="1">
      <alignment horizontal="right" vertical="bottom"/>
    </xf>
    <xf borderId="8" fillId="0" fontId="11" numFmtId="0" xfId="0" applyAlignment="1" applyBorder="1" applyFont="1">
      <alignment horizontal="right"/>
    </xf>
    <xf borderId="3" fillId="0" fontId="4" numFmtId="0" xfId="0" applyBorder="1" applyFont="1"/>
    <xf borderId="0" fillId="0" fontId="10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3" numFmtId="9" xfId="0" applyAlignment="1" applyFont="1" applyNumberFormat="1">
      <alignment horizontal="center" vertical="bottom"/>
    </xf>
    <xf borderId="0" fillId="0" fontId="12" numFmtId="14" xfId="0" applyAlignment="1" applyFont="1" applyNumberFormat="1">
      <alignment horizontal="right" vertical="bottom"/>
    </xf>
    <xf borderId="0" fillId="0" fontId="12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0" numFmtId="14" xfId="0" applyAlignment="1" applyFont="1" applyNumberFormat="1">
      <alignment vertical="bottom"/>
    </xf>
    <xf borderId="1" fillId="6" fontId="10" numFmtId="0" xfId="0" applyAlignment="1" applyBorder="1" applyFill="1" applyFont="1">
      <alignment horizontal="center" vertical="bottom"/>
    </xf>
    <xf borderId="1" fillId="6" fontId="10" numFmtId="0" xfId="0" applyAlignment="1" applyBorder="1" applyFont="1">
      <alignment vertical="bottom"/>
    </xf>
    <xf borderId="4" fillId="0" fontId="15" numFmtId="0" xfId="0" applyAlignment="1" applyBorder="1" applyFont="1">
      <alignment horizontal="center" readingOrder="0" shrinkToFit="0" vertical="bottom" wrapText="0"/>
    </xf>
    <xf borderId="1" fillId="6" fontId="10" numFmtId="9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readingOrder="0" vertical="bottom"/>
    </xf>
    <xf borderId="1" fillId="5" fontId="10" numFmtId="0" xfId="0" applyAlignment="1" applyBorder="1" applyFont="1">
      <alignment horizontal="center" vertical="bottom"/>
    </xf>
    <xf borderId="1" fillId="5" fontId="10" numFmtId="0" xfId="0" applyAlignment="1" applyBorder="1" applyFont="1">
      <alignment vertical="bottom"/>
    </xf>
    <xf borderId="4" fillId="5" fontId="15" numFmtId="0" xfId="0" applyAlignment="1" applyBorder="1" applyFont="1">
      <alignment horizontal="center" readingOrder="0" shrinkToFit="0" vertical="bottom" wrapText="0"/>
    </xf>
    <xf borderId="1" fillId="5" fontId="10" numFmtId="9" xfId="0" applyAlignment="1" applyBorder="1" applyFont="1" applyNumberFormat="1">
      <alignment horizontal="center" vertical="bottom"/>
    </xf>
    <xf borderId="1" fillId="6" fontId="10" numFmtId="0" xfId="0" applyAlignment="1" applyBorder="1" applyFont="1">
      <alignment horizontal="center" readingOrder="0" vertical="bottom"/>
    </xf>
    <xf borderId="2" fillId="3" fontId="5" numFmtId="0" xfId="0" applyAlignment="1" applyBorder="1" applyFont="1">
      <alignment horizontal="center" readingOrder="0" shrinkToFit="0" vertical="center" wrapText="0"/>
    </xf>
    <xf borderId="2" fillId="3" fontId="5" numFmtId="9" xfId="0" applyAlignment="1" applyBorder="1" applyFont="1" applyNumberFormat="1">
      <alignment horizontal="center" readingOrder="0" shrinkToFit="0" vertical="center" wrapText="0"/>
    </xf>
    <xf borderId="0" fillId="0" fontId="7" numFmtId="0" xfId="0" applyAlignment="1" applyFont="1">
      <alignment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quotePrefix="1"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5.63"/>
    <col customWidth="1" min="3" max="3" width="19.13"/>
    <col hidden="1" min="5" max="5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4" t="s">
        <v>7</v>
      </c>
      <c r="D2" s="4" t="s">
        <v>8</v>
      </c>
      <c r="E2" s="5"/>
      <c r="F2" s="5">
        <f>countif('Test Cases'!D:D,C2)</f>
        <v>0</v>
      </c>
    </row>
    <row r="3">
      <c r="A3" s="2">
        <v>2.0</v>
      </c>
      <c r="B3" s="3" t="s">
        <v>9</v>
      </c>
      <c r="C3" s="4" t="s">
        <v>10</v>
      </c>
      <c r="D3" s="5"/>
      <c r="E3" s="5"/>
      <c r="F3" s="5">
        <f>countif('Test Cases'!D:D,C3)</f>
        <v>2</v>
      </c>
    </row>
    <row r="4">
      <c r="A4" s="4">
        <v>3.0</v>
      </c>
      <c r="B4" s="3" t="s">
        <v>11</v>
      </c>
      <c r="C4" s="4" t="s">
        <v>12</v>
      </c>
      <c r="D4" s="5"/>
      <c r="E4" s="5"/>
      <c r="F4" s="5">
        <f>countif('Test Cases'!D:D,C4)</f>
        <v>1</v>
      </c>
    </row>
    <row r="5">
      <c r="A5" s="6"/>
      <c r="B5" s="7"/>
      <c r="C5" s="7"/>
      <c r="D5" s="7"/>
      <c r="E5" s="7"/>
      <c r="F5" s="5">
        <f>countif('Test Cases'!D:D,C5)</f>
        <v>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13</v>
      </c>
      <c r="B6" s="10"/>
      <c r="C6" s="10"/>
      <c r="D6" s="10" t="s">
        <v>14</v>
      </c>
      <c r="E6" s="10" t="s">
        <v>14</v>
      </c>
      <c r="F6" s="11">
        <f>SUM(F2:F5)</f>
        <v>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17.88"/>
  </cols>
  <sheetData>
    <row r="1">
      <c r="A1" s="1" t="s">
        <v>0</v>
      </c>
      <c r="B1" s="1" t="s">
        <v>1</v>
      </c>
      <c r="C1" s="1" t="s">
        <v>15</v>
      </c>
      <c r="D1" s="1" t="s">
        <v>3</v>
      </c>
      <c r="E1" s="1" t="s">
        <v>5</v>
      </c>
    </row>
    <row r="2">
      <c r="A2" s="2">
        <v>1.0</v>
      </c>
      <c r="B2" s="3" t="s">
        <v>16</v>
      </c>
      <c r="C2" s="4" t="s">
        <v>17</v>
      </c>
      <c r="D2" s="5"/>
      <c r="E2" s="5">
        <f>countif('Test Cases'!C:C,B2)</f>
        <v>2</v>
      </c>
    </row>
    <row r="3">
      <c r="A3" s="2">
        <v>2.0</v>
      </c>
      <c r="B3" s="3" t="s">
        <v>18</v>
      </c>
      <c r="C3" s="4" t="s">
        <v>19</v>
      </c>
      <c r="D3" s="5"/>
      <c r="E3" s="5">
        <f>countif('Test Cases'!C:C,B3)</f>
        <v>1</v>
      </c>
    </row>
    <row r="4">
      <c r="A4" s="4">
        <v>3.0</v>
      </c>
      <c r="B4" s="3" t="s">
        <v>20</v>
      </c>
      <c r="C4" s="4" t="s">
        <v>21</v>
      </c>
      <c r="D4" s="5"/>
      <c r="E4" s="5">
        <f>countif('Test Cases'!C:C,B4)</f>
        <v>0</v>
      </c>
    </row>
    <row r="5">
      <c r="A5" s="4">
        <v>4.0</v>
      </c>
      <c r="B5" s="3" t="s">
        <v>22</v>
      </c>
      <c r="C5" s="4" t="s">
        <v>23</v>
      </c>
      <c r="D5" s="5"/>
      <c r="E5" s="5">
        <f>countif('Test Cases'!C:C,B5)</f>
        <v>0</v>
      </c>
    </row>
    <row r="6">
      <c r="A6" s="4">
        <v>5.0</v>
      </c>
      <c r="B6" s="3" t="s">
        <v>24</v>
      </c>
      <c r="C6" s="4" t="s">
        <v>25</v>
      </c>
      <c r="D6" s="5"/>
      <c r="E6" s="5">
        <f>countif('Test Cases'!C:C,B6)</f>
        <v>0</v>
      </c>
    </row>
    <row r="7">
      <c r="A7" s="12" t="s">
        <v>13</v>
      </c>
      <c r="B7" s="12"/>
      <c r="C7" s="12"/>
      <c r="D7" s="10" t="s">
        <v>14</v>
      </c>
      <c r="E7" s="13">
        <f>SUM(E2:E6)</f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6.5"/>
    <col customWidth="1" min="3" max="3" width="12.25"/>
    <col customWidth="1" min="4" max="4" width="13.38"/>
    <col customWidth="1" min="5" max="5" width="5.13"/>
    <col customWidth="1" min="6" max="6" width="15.5"/>
    <col customWidth="1" min="8" max="9" width="21.88"/>
  </cols>
  <sheetData>
    <row r="1">
      <c r="A1" s="14"/>
      <c r="B1" s="15"/>
      <c r="C1" s="15"/>
      <c r="D1" s="15"/>
      <c r="E1" s="14"/>
      <c r="F1" s="14"/>
      <c r="G1" s="14"/>
      <c r="H1" s="16"/>
      <c r="I1" s="16"/>
      <c r="J1" s="14"/>
      <c r="K1" s="14"/>
      <c r="L1" s="14"/>
      <c r="M1" s="17" t="s">
        <v>26</v>
      </c>
      <c r="N1" s="18"/>
      <c r="O1" s="18"/>
      <c r="P1" s="18"/>
      <c r="Q1" s="18"/>
      <c r="R1" s="18"/>
      <c r="S1" s="17" t="s">
        <v>27</v>
      </c>
      <c r="T1" s="18"/>
      <c r="U1" s="18"/>
      <c r="V1" s="18"/>
      <c r="W1" s="18"/>
      <c r="X1" s="18"/>
    </row>
    <row r="2">
      <c r="A2" s="19" t="s">
        <v>0</v>
      </c>
      <c r="B2" s="19" t="s">
        <v>28</v>
      </c>
      <c r="C2" s="19" t="s">
        <v>15</v>
      </c>
      <c r="D2" s="19" t="s">
        <v>2</v>
      </c>
      <c r="E2" s="19" t="s">
        <v>29</v>
      </c>
      <c r="F2" s="19" t="s">
        <v>30</v>
      </c>
      <c r="G2" s="19" t="s">
        <v>31</v>
      </c>
      <c r="H2" s="19" t="s">
        <v>32</v>
      </c>
      <c r="I2" s="19" t="s">
        <v>33</v>
      </c>
      <c r="J2" s="19" t="s">
        <v>34</v>
      </c>
      <c r="K2" s="19" t="s">
        <v>35</v>
      </c>
      <c r="L2" s="20" t="s">
        <v>36</v>
      </c>
      <c r="M2" s="20" t="s">
        <v>37</v>
      </c>
      <c r="N2" s="20" t="s">
        <v>38</v>
      </c>
      <c r="O2" s="20" t="s">
        <v>39</v>
      </c>
      <c r="P2" s="20" t="s">
        <v>40</v>
      </c>
      <c r="Q2" s="20" t="s">
        <v>41</v>
      </c>
      <c r="R2" s="20" t="s">
        <v>4</v>
      </c>
      <c r="S2" s="20" t="s">
        <v>37</v>
      </c>
      <c r="T2" s="20" t="s">
        <v>38</v>
      </c>
      <c r="U2" s="20" t="s">
        <v>39</v>
      </c>
      <c r="V2" s="20" t="s">
        <v>40</v>
      </c>
      <c r="W2" s="20" t="s">
        <v>41</v>
      </c>
      <c r="X2" s="20" t="s">
        <v>4</v>
      </c>
      <c r="Y2" s="21"/>
    </row>
    <row r="3">
      <c r="A3" s="22"/>
      <c r="B3" s="23"/>
      <c r="C3" s="23"/>
      <c r="D3" s="23"/>
      <c r="E3" s="24"/>
      <c r="F3" s="24"/>
      <c r="G3" s="25"/>
      <c r="H3" s="24"/>
      <c r="I3" s="24"/>
      <c r="J3" s="26"/>
      <c r="K3" s="26"/>
      <c r="L3" s="27"/>
      <c r="M3" s="28"/>
      <c r="N3" s="29"/>
      <c r="O3" s="30"/>
      <c r="P3" s="28"/>
      <c r="Q3" s="31"/>
      <c r="R3" s="32"/>
      <c r="S3" s="28"/>
      <c r="T3" s="29"/>
      <c r="U3" s="30"/>
      <c r="V3" s="28"/>
      <c r="W3" s="31"/>
      <c r="X3" s="32"/>
      <c r="Y3" s="33"/>
    </row>
    <row r="4">
      <c r="A4" s="22">
        <v>1.0</v>
      </c>
      <c r="B4" s="23" t="s">
        <v>42</v>
      </c>
      <c r="C4" s="23" t="s">
        <v>18</v>
      </c>
      <c r="D4" s="23" t="s">
        <v>10</v>
      </c>
      <c r="E4" s="24"/>
      <c r="F4" s="24" t="s">
        <v>43</v>
      </c>
      <c r="G4" s="25"/>
      <c r="H4" s="24" t="s">
        <v>44</v>
      </c>
      <c r="I4" s="24" t="s">
        <v>45</v>
      </c>
      <c r="J4" s="26"/>
      <c r="K4" s="26" t="s">
        <v>46</v>
      </c>
      <c r="L4" s="26"/>
      <c r="M4" s="34" t="s">
        <v>47</v>
      </c>
      <c r="N4" s="35" t="s">
        <v>48</v>
      </c>
      <c r="O4" s="36"/>
      <c r="P4" s="34"/>
      <c r="Q4" s="31"/>
      <c r="R4" s="37"/>
      <c r="S4" s="34" t="s">
        <v>47</v>
      </c>
      <c r="T4" s="35" t="s">
        <v>48</v>
      </c>
      <c r="U4" s="36"/>
      <c r="V4" s="34"/>
      <c r="W4" s="31"/>
      <c r="X4" s="37"/>
      <c r="Y4" s="33"/>
    </row>
    <row r="5">
      <c r="A5" s="22">
        <v>2.0</v>
      </c>
      <c r="B5" s="23" t="s">
        <v>49</v>
      </c>
      <c r="C5" s="23" t="s">
        <v>16</v>
      </c>
      <c r="D5" s="23" t="s">
        <v>10</v>
      </c>
      <c r="E5" s="24"/>
      <c r="F5" s="24" t="s">
        <v>50</v>
      </c>
      <c r="G5" s="25"/>
      <c r="H5" s="24" t="s">
        <v>44</v>
      </c>
      <c r="I5" s="24" t="s">
        <v>51</v>
      </c>
      <c r="J5" s="26"/>
      <c r="K5" s="26" t="s">
        <v>46</v>
      </c>
      <c r="L5" s="26"/>
      <c r="M5" s="34" t="s">
        <v>52</v>
      </c>
      <c r="N5" s="34" t="s">
        <v>53</v>
      </c>
      <c r="O5" s="34" t="s">
        <v>54</v>
      </c>
      <c r="P5" s="34"/>
      <c r="Q5" s="31"/>
      <c r="R5" s="37"/>
      <c r="S5" s="34" t="s">
        <v>52</v>
      </c>
      <c r="T5" s="34" t="s">
        <v>53</v>
      </c>
      <c r="U5" s="34" t="s">
        <v>54</v>
      </c>
      <c r="V5" s="34"/>
      <c r="W5" s="31"/>
      <c r="X5" s="37"/>
      <c r="Y5" s="33"/>
    </row>
    <row r="6">
      <c r="A6" s="22">
        <v>3.0</v>
      </c>
      <c r="B6" s="23" t="s">
        <v>55</v>
      </c>
      <c r="C6" s="23" t="s">
        <v>16</v>
      </c>
      <c r="D6" s="23" t="s">
        <v>12</v>
      </c>
      <c r="E6" s="24"/>
      <c r="F6" s="24" t="s">
        <v>56</v>
      </c>
      <c r="G6" s="25"/>
      <c r="H6" s="24" t="s">
        <v>57</v>
      </c>
      <c r="I6" s="24"/>
      <c r="J6" s="26"/>
      <c r="K6" s="26" t="s">
        <v>58</v>
      </c>
      <c r="L6" s="26"/>
      <c r="M6" s="38"/>
      <c r="N6" s="34"/>
      <c r="O6" s="38"/>
      <c r="P6" s="34"/>
      <c r="Q6" s="31"/>
      <c r="R6" s="37"/>
      <c r="S6" s="38"/>
      <c r="T6" s="34"/>
      <c r="U6" s="38"/>
      <c r="V6" s="34"/>
      <c r="W6" s="31"/>
      <c r="X6" s="37"/>
      <c r="Y6" s="33"/>
    </row>
    <row r="7">
      <c r="A7" s="22">
        <v>4.0</v>
      </c>
      <c r="B7" s="23"/>
      <c r="C7" s="23"/>
      <c r="D7" s="23"/>
      <c r="E7" s="24"/>
      <c r="F7" s="24"/>
      <c r="G7" s="25"/>
      <c r="H7" s="24"/>
      <c r="I7" s="24"/>
      <c r="J7" s="26"/>
      <c r="K7" s="26"/>
      <c r="L7" s="26"/>
      <c r="M7" s="34"/>
      <c r="N7" s="34"/>
      <c r="O7" s="34"/>
      <c r="P7" s="34"/>
      <c r="Q7" s="31"/>
      <c r="R7" s="37"/>
      <c r="S7" s="34"/>
      <c r="T7" s="34"/>
      <c r="U7" s="34"/>
      <c r="V7" s="34"/>
      <c r="W7" s="31"/>
      <c r="X7" s="37"/>
      <c r="Y7" s="33"/>
    </row>
    <row r="8">
      <c r="A8" s="39" t="s">
        <v>13</v>
      </c>
      <c r="B8" s="39"/>
      <c r="C8" s="40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3"/>
    </row>
    <row r="9">
      <c r="C9" s="41"/>
      <c r="H9" s="42"/>
      <c r="I9" s="42"/>
      <c r="J9" s="43"/>
      <c r="K9" s="43"/>
      <c r="L9" s="43"/>
    </row>
    <row r="10">
      <c r="C10" s="41"/>
      <c r="H10" s="42"/>
      <c r="I10" s="42"/>
      <c r="J10" s="43"/>
      <c r="K10" s="43"/>
      <c r="L10" s="43"/>
    </row>
    <row r="11">
      <c r="C11" s="41"/>
      <c r="H11" s="42"/>
      <c r="I11" s="42"/>
      <c r="J11" s="43"/>
      <c r="K11" s="43"/>
      <c r="L11" s="43"/>
    </row>
    <row r="12">
      <c r="C12" s="41"/>
      <c r="H12" s="42"/>
      <c r="I12" s="42"/>
      <c r="J12" s="43"/>
      <c r="K12" s="43"/>
      <c r="L12" s="43"/>
    </row>
    <row r="13">
      <c r="C13" s="41"/>
      <c r="H13" s="42"/>
      <c r="I13" s="42"/>
    </row>
    <row r="14">
      <c r="C14" s="41"/>
      <c r="H14" s="42"/>
      <c r="I14" s="42"/>
    </row>
    <row r="15">
      <c r="C15" s="41"/>
      <c r="H15" s="42"/>
      <c r="I15" s="42"/>
    </row>
    <row r="16">
      <c r="C16" s="41"/>
      <c r="H16" s="42"/>
      <c r="I16" s="42"/>
    </row>
    <row r="17">
      <c r="C17" s="41"/>
      <c r="H17" s="42"/>
      <c r="I17" s="42"/>
    </row>
    <row r="18">
      <c r="C18" s="41"/>
      <c r="H18" s="42"/>
      <c r="I18" s="42"/>
    </row>
    <row r="19">
      <c r="C19" s="41"/>
      <c r="H19" s="42"/>
      <c r="I19" s="42"/>
    </row>
    <row r="20">
      <c r="C20" s="41"/>
      <c r="H20" s="42"/>
      <c r="I20" s="42"/>
    </row>
    <row r="21">
      <c r="C21" s="41"/>
      <c r="H21" s="42"/>
      <c r="I21" s="42"/>
    </row>
    <row r="22">
      <c r="C22" s="41"/>
      <c r="H22" s="42"/>
      <c r="I22" s="42"/>
    </row>
    <row r="23">
      <c r="C23" s="41"/>
      <c r="H23" s="42"/>
      <c r="I23" s="42"/>
    </row>
    <row r="24">
      <c r="C24" s="41"/>
      <c r="H24" s="42"/>
      <c r="I24" s="42"/>
    </row>
    <row r="25">
      <c r="C25" s="41"/>
      <c r="H25" s="42"/>
      <c r="I25" s="42"/>
    </row>
    <row r="26">
      <c r="C26" s="41"/>
      <c r="H26" s="42"/>
      <c r="I26" s="42"/>
    </row>
    <row r="27">
      <c r="C27" s="41"/>
      <c r="H27" s="42"/>
      <c r="I27" s="42"/>
    </row>
    <row r="28">
      <c r="C28" s="41"/>
      <c r="H28" s="42"/>
      <c r="I28" s="42"/>
    </row>
    <row r="29">
      <c r="C29" s="41"/>
      <c r="H29" s="42"/>
      <c r="I29" s="42"/>
    </row>
    <row r="30">
      <c r="C30" s="41"/>
      <c r="H30" s="42"/>
      <c r="I30" s="42"/>
    </row>
    <row r="31">
      <c r="C31" s="41"/>
      <c r="H31" s="42"/>
      <c r="I31" s="42"/>
    </row>
    <row r="32">
      <c r="C32" s="41"/>
      <c r="H32" s="42"/>
      <c r="I32" s="42"/>
    </row>
    <row r="33">
      <c r="C33" s="41"/>
      <c r="H33" s="42"/>
      <c r="I33" s="42"/>
    </row>
    <row r="34">
      <c r="C34" s="41"/>
      <c r="H34" s="42"/>
      <c r="I34" s="42"/>
    </row>
    <row r="35">
      <c r="C35" s="41"/>
      <c r="H35" s="42"/>
      <c r="I35" s="42"/>
    </row>
    <row r="36">
      <c r="C36" s="41"/>
      <c r="H36" s="42"/>
      <c r="I36" s="42"/>
    </row>
    <row r="37">
      <c r="C37" s="41"/>
      <c r="H37" s="42"/>
      <c r="I37" s="42"/>
    </row>
    <row r="38">
      <c r="C38" s="41"/>
      <c r="H38" s="42"/>
      <c r="I38" s="42"/>
    </row>
    <row r="39">
      <c r="C39" s="41"/>
      <c r="H39" s="42"/>
      <c r="I39" s="42"/>
    </row>
    <row r="40">
      <c r="C40" s="41"/>
      <c r="H40" s="42"/>
      <c r="I40" s="42"/>
    </row>
    <row r="41">
      <c r="C41" s="41"/>
      <c r="H41" s="42"/>
      <c r="I41" s="42"/>
    </row>
    <row r="42">
      <c r="C42" s="41"/>
      <c r="H42" s="42"/>
      <c r="I42" s="42"/>
    </row>
    <row r="43">
      <c r="C43" s="41"/>
      <c r="H43" s="42"/>
      <c r="I43" s="42"/>
    </row>
    <row r="44">
      <c r="C44" s="41"/>
      <c r="H44" s="42"/>
      <c r="I44" s="42"/>
    </row>
    <row r="45">
      <c r="C45" s="41"/>
      <c r="H45" s="42"/>
      <c r="I45" s="42"/>
    </row>
    <row r="46">
      <c r="C46" s="41"/>
      <c r="H46" s="42"/>
      <c r="I46" s="42"/>
    </row>
    <row r="47">
      <c r="C47" s="41"/>
      <c r="H47" s="42"/>
      <c r="I47" s="42"/>
    </row>
    <row r="48">
      <c r="C48" s="41"/>
      <c r="H48" s="42"/>
      <c r="I48" s="42"/>
    </row>
    <row r="49">
      <c r="C49" s="41"/>
      <c r="H49" s="42"/>
      <c r="I49" s="42"/>
    </row>
    <row r="50">
      <c r="C50" s="41"/>
      <c r="H50" s="42"/>
      <c r="I50" s="42"/>
    </row>
    <row r="51">
      <c r="C51" s="41"/>
      <c r="H51" s="42"/>
      <c r="I51" s="42"/>
    </row>
    <row r="52">
      <c r="C52" s="41"/>
      <c r="H52" s="42"/>
      <c r="I52" s="42"/>
    </row>
    <row r="53">
      <c r="C53" s="41"/>
      <c r="H53" s="42"/>
      <c r="I53" s="42"/>
    </row>
    <row r="54">
      <c r="C54" s="41"/>
      <c r="H54" s="42"/>
      <c r="I54" s="42"/>
    </row>
    <row r="55">
      <c r="C55" s="41"/>
      <c r="H55" s="42"/>
      <c r="I55" s="42"/>
    </row>
    <row r="56">
      <c r="C56" s="41"/>
      <c r="H56" s="42"/>
      <c r="I56" s="42"/>
    </row>
    <row r="57">
      <c r="C57" s="41"/>
      <c r="H57" s="42"/>
      <c r="I57" s="42"/>
    </row>
    <row r="58">
      <c r="C58" s="41"/>
      <c r="H58" s="42"/>
      <c r="I58" s="42"/>
    </row>
    <row r="59">
      <c r="C59" s="41"/>
      <c r="H59" s="42"/>
      <c r="I59" s="42"/>
    </row>
    <row r="60">
      <c r="C60" s="41"/>
      <c r="H60" s="42"/>
      <c r="I60" s="42"/>
    </row>
    <row r="61">
      <c r="C61" s="41"/>
      <c r="H61" s="42"/>
      <c r="I61" s="42"/>
    </row>
    <row r="62">
      <c r="C62" s="41"/>
      <c r="H62" s="42"/>
      <c r="I62" s="42"/>
    </row>
    <row r="63">
      <c r="C63" s="41"/>
      <c r="H63" s="42"/>
      <c r="I63" s="42"/>
    </row>
    <row r="64">
      <c r="C64" s="41"/>
      <c r="H64" s="42"/>
      <c r="I64" s="42"/>
    </row>
    <row r="65">
      <c r="C65" s="41"/>
      <c r="H65" s="42"/>
      <c r="I65" s="42"/>
    </row>
    <row r="66">
      <c r="C66" s="41"/>
      <c r="H66" s="42"/>
      <c r="I66" s="42"/>
    </row>
    <row r="67">
      <c r="C67" s="41"/>
      <c r="H67" s="42"/>
      <c r="I67" s="42"/>
    </row>
    <row r="68">
      <c r="C68" s="41"/>
      <c r="H68" s="42"/>
      <c r="I68" s="42"/>
    </row>
    <row r="69">
      <c r="C69" s="41"/>
      <c r="H69" s="42"/>
      <c r="I69" s="42"/>
    </row>
    <row r="70">
      <c r="C70" s="41"/>
      <c r="H70" s="42"/>
      <c r="I70" s="42"/>
    </row>
    <row r="71">
      <c r="C71" s="41"/>
      <c r="H71" s="42"/>
      <c r="I71" s="42"/>
    </row>
    <row r="72">
      <c r="C72" s="41"/>
      <c r="H72" s="42"/>
      <c r="I72" s="42"/>
    </row>
    <row r="73">
      <c r="C73" s="41"/>
      <c r="H73" s="42"/>
      <c r="I73" s="42"/>
    </row>
    <row r="74">
      <c r="C74" s="41"/>
      <c r="H74" s="42"/>
      <c r="I74" s="42"/>
    </row>
    <row r="75">
      <c r="C75" s="41"/>
      <c r="H75" s="42"/>
      <c r="I75" s="42"/>
    </row>
    <row r="76">
      <c r="C76" s="41"/>
      <c r="H76" s="42"/>
      <c r="I76" s="42"/>
    </row>
    <row r="77">
      <c r="C77" s="41"/>
      <c r="H77" s="42"/>
      <c r="I77" s="42"/>
    </row>
    <row r="78">
      <c r="C78" s="41"/>
      <c r="H78" s="42"/>
      <c r="I78" s="42"/>
    </row>
    <row r="79">
      <c r="C79" s="41"/>
      <c r="H79" s="42"/>
      <c r="I79" s="42"/>
    </row>
    <row r="80">
      <c r="C80" s="41"/>
      <c r="H80" s="42"/>
      <c r="I80" s="42"/>
    </row>
    <row r="81">
      <c r="C81" s="41"/>
      <c r="H81" s="42"/>
      <c r="I81" s="42"/>
    </row>
    <row r="82">
      <c r="C82" s="41"/>
      <c r="H82" s="42"/>
      <c r="I82" s="42"/>
    </row>
    <row r="83">
      <c r="C83" s="41"/>
      <c r="H83" s="42"/>
      <c r="I83" s="42"/>
    </row>
    <row r="84">
      <c r="C84" s="41"/>
      <c r="H84" s="42"/>
      <c r="I84" s="42"/>
    </row>
    <row r="85">
      <c r="C85" s="41"/>
      <c r="H85" s="42"/>
      <c r="I85" s="42"/>
    </row>
    <row r="86">
      <c r="C86" s="41"/>
      <c r="H86" s="42"/>
      <c r="I86" s="42"/>
    </row>
    <row r="87">
      <c r="C87" s="41"/>
      <c r="H87" s="42"/>
      <c r="I87" s="42"/>
    </row>
    <row r="88">
      <c r="C88" s="41"/>
      <c r="H88" s="42"/>
      <c r="I88" s="42"/>
    </row>
    <row r="89">
      <c r="C89" s="41"/>
      <c r="H89" s="42"/>
      <c r="I89" s="42"/>
    </row>
    <row r="90">
      <c r="C90" s="41"/>
      <c r="H90" s="42"/>
      <c r="I90" s="42"/>
    </row>
    <row r="91">
      <c r="C91" s="41"/>
      <c r="H91" s="42"/>
      <c r="I91" s="42"/>
    </row>
    <row r="92">
      <c r="C92" s="41"/>
      <c r="H92" s="42"/>
      <c r="I92" s="42"/>
    </row>
    <row r="93">
      <c r="C93" s="41"/>
      <c r="H93" s="42"/>
      <c r="I93" s="42"/>
    </row>
    <row r="94">
      <c r="C94" s="41"/>
      <c r="H94" s="42"/>
      <c r="I94" s="42"/>
    </row>
    <row r="95">
      <c r="C95" s="41"/>
      <c r="H95" s="42"/>
      <c r="I95" s="42"/>
    </row>
    <row r="96">
      <c r="C96" s="41"/>
      <c r="H96" s="42"/>
      <c r="I96" s="42"/>
    </row>
    <row r="97">
      <c r="C97" s="41"/>
      <c r="H97" s="42"/>
      <c r="I97" s="42"/>
    </row>
    <row r="98">
      <c r="C98" s="41"/>
      <c r="H98" s="42"/>
      <c r="I98" s="42"/>
    </row>
    <row r="99">
      <c r="C99" s="41"/>
      <c r="H99" s="42"/>
      <c r="I99" s="42"/>
    </row>
    <row r="100">
      <c r="C100" s="41"/>
      <c r="H100" s="42"/>
      <c r="I100" s="42"/>
    </row>
    <row r="101">
      <c r="C101" s="41"/>
      <c r="H101" s="42"/>
      <c r="I101" s="42"/>
    </row>
    <row r="102">
      <c r="C102" s="41"/>
      <c r="H102" s="42"/>
      <c r="I102" s="42"/>
    </row>
    <row r="103">
      <c r="C103" s="41"/>
      <c r="H103" s="42"/>
      <c r="I103" s="42"/>
    </row>
    <row r="104">
      <c r="C104" s="41"/>
      <c r="H104" s="42"/>
      <c r="I104" s="42"/>
    </row>
    <row r="105">
      <c r="C105" s="41"/>
      <c r="H105" s="42"/>
      <c r="I105" s="42"/>
    </row>
    <row r="106">
      <c r="C106" s="41"/>
      <c r="H106" s="42"/>
      <c r="I106" s="42"/>
    </row>
    <row r="107">
      <c r="C107" s="41"/>
      <c r="H107" s="42"/>
      <c r="I107" s="42"/>
    </row>
    <row r="108">
      <c r="C108" s="41"/>
      <c r="H108" s="42"/>
      <c r="I108" s="42"/>
    </row>
    <row r="109">
      <c r="C109" s="41"/>
      <c r="H109" s="42"/>
      <c r="I109" s="42"/>
    </row>
    <row r="110">
      <c r="C110" s="41"/>
      <c r="H110" s="42"/>
      <c r="I110" s="42"/>
    </row>
    <row r="111">
      <c r="C111" s="41"/>
      <c r="H111" s="42"/>
      <c r="I111" s="42"/>
    </row>
    <row r="112">
      <c r="C112" s="41"/>
      <c r="H112" s="42"/>
      <c r="I112" s="42"/>
    </row>
    <row r="113">
      <c r="C113" s="41"/>
      <c r="H113" s="42"/>
      <c r="I113" s="42"/>
    </row>
    <row r="114">
      <c r="C114" s="41"/>
      <c r="H114" s="42"/>
      <c r="I114" s="42"/>
    </row>
    <row r="115">
      <c r="C115" s="41"/>
      <c r="H115" s="42"/>
      <c r="I115" s="42"/>
    </row>
    <row r="116">
      <c r="C116" s="41"/>
      <c r="H116" s="42"/>
      <c r="I116" s="42"/>
    </row>
    <row r="117">
      <c r="C117" s="41"/>
      <c r="H117" s="42"/>
      <c r="I117" s="42"/>
    </row>
    <row r="118">
      <c r="C118" s="41"/>
      <c r="H118" s="42"/>
      <c r="I118" s="42"/>
    </row>
    <row r="119">
      <c r="C119" s="41"/>
      <c r="H119" s="42"/>
      <c r="I119" s="42"/>
    </row>
    <row r="120">
      <c r="C120" s="41"/>
      <c r="H120" s="42"/>
      <c r="I120" s="42"/>
    </row>
    <row r="121">
      <c r="C121" s="41"/>
      <c r="H121" s="42"/>
      <c r="I121" s="42"/>
    </row>
    <row r="122">
      <c r="C122" s="41"/>
      <c r="H122" s="42"/>
      <c r="I122" s="42"/>
    </row>
    <row r="123">
      <c r="C123" s="41"/>
      <c r="H123" s="42"/>
      <c r="I123" s="42"/>
    </row>
    <row r="124">
      <c r="C124" s="41"/>
      <c r="H124" s="42"/>
      <c r="I124" s="42"/>
    </row>
    <row r="125">
      <c r="C125" s="41"/>
      <c r="H125" s="42"/>
      <c r="I125" s="42"/>
    </row>
    <row r="126">
      <c r="C126" s="41"/>
      <c r="H126" s="42"/>
      <c r="I126" s="42"/>
    </row>
    <row r="127">
      <c r="C127" s="41"/>
      <c r="H127" s="42"/>
      <c r="I127" s="42"/>
    </row>
    <row r="128">
      <c r="C128" s="41"/>
      <c r="H128" s="42"/>
      <c r="I128" s="42"/>
    </row>
    <row r="129">
      <c r="C129" s="41"/>
      <c r="H129" s="42"/>
      <c r="I129" s="42"/>
    </row>
    <row r="130">
      <c r="C130" s="41"/>
      <c r="H130" s="42"/>
      <c r="I130" s="42"/>
    </row>
    <row r="131">
      <c r="C131" s="41"/>
      <c r="H131" s="42"/>
      <c r="I131" s="42"/>
    </row>
    <row r="132">
      <c r="C132" s="41"/>
      <c r="H132" s="42"/>
      <c r="I132" s="42"/>
    </row>
    <row r="133">
      <c r="C133" s="41"/>
      <c r="H133" s="42"/>
      <c r="I133" s="42"/>
    </row>
    <row r="134">
      <c r="C134" s="41"/>
      <c r="H134" s="42"/>
      <c r="I134" s="42"/>
    </row>
    <row r="135">
      <c r="C135" s="41"/>
      <c r="H135" s="42"/>
      <c r="I135" s="42"/>
    </row>
    <row r="136">
      <c r="C136" s="41"/>
      <c r="H136" s="42"/>
      <c r="I136" s="42"/>
    </row>
    <row r="137">
      <c r="C137" s="41"/>
      <c r="H137" s="42"/>
      <c r="I137" s="42"/>
    </row>
    <row r="138">
      <c r="C138" s="41"/>
      <c r="H138" s="42"/>
      <c r="I138" s="42"/>
    </row>
    <row r="139">
      <c r="C139" s="41"/>
      <c r="H139" s="42"/>
      <c r="I139" s="42"/>
    </row>
    <row r="140">
      <c r="C140" s="41"/>
      <c r="H140" s="42"/>
      <c r="I140" s="42"/>
    </row>
    <row r="141">
      <c r="C141" s="41"/>
      <c r="H141" s="42"/>
      <c r="I141" s="42"/>
    </row>
    <row r="142">
      <c r="C142" s="41"/>
      <c r="H142" s="42"/>
      <c r="I142" s="42"/>
    </row>
    <row r="143">
      <c r="C143" s="41"/>
      <c r="H143" s="42"/>
      <c r="I143" s="42"/>
    </row>
    <row r="144">
      <c r="C144" s="41"/>
      <c r="H144" s="42"/>
      <c r="I144" s="42"/>
    </row>
    <row r="145">
      <c r="C145" s="41"/>
      <c r="H145" s="42"/>
      <c r="I145" s="42"/>
    </row>
    <row r="146">
      <c r="C146" s="41"/>
      <c r="H146" s="42"/>
      <c r="I146" s="42"/>
    </row>
    <row r="147">
      <c r="C147" s="41"/>
      <c r="H147" s="42"/>
      <c r="I147" s="42"/>
    </row>
    <row r="148">
      <c r="C148" s="41"/>
      <c r="H148" s="42"/>
      <c r="I148" s="42"/>
    </row>
    <row r="149">
      <c r="C149" s="41"/>
      <c r="H149" s="42"/>
      <c r="I149" s="42"/>
    </row>
    <row r="150">
      <c r="C150" s="41"/>
      <c r="H150" s="42"/>
      <c r="I150" s="42"/>
    </row>
    <row r="151">
      <c r="C151" s="41"/>
      <c r="H151" s="42"/>
      <c r="I151" s="42"/>
    </row>
    <row r="152">
      <c r="C152" s="41"/>
      <c r="H152" s="42"/>
      <c r="I152" s="42"/>
    </row>
    <row r="153">
      <c r="C153" s="41"/>
      <c r="H153" s="42"/>
      <c r="I153" s="42"/>
    </row>
    <row r="154">
      <c r="C154" s="41"/>
      <c r="H154" s="42"/>
      <c r="I154" s="42"/>
    </row>
    <row r="155">
      <c r="C155" s="41"/>
      <c r="H155" s="42"/>
      <c r="I155" s="42"/>
    </row>
    <row r="156">
      <c r="C156" s="41"/>
      <c r="H156" s="42"/>
      <c r="I156" s="42"/>
    </row>
    <row r="157">
      <c r="C157" s="41"/>
      <c r="H157" s="42"/>
      <c r="I157" s="42"/>
    </row>
    <row r="158">
      <c r="C158" s="41"/>
      <c r="H158" s="42"/>
      <c r="I158" s="42"/>
    </row>
    <row r="159">
      <c r="C159" s="41"/>
      <c r="H159" s="42"/>
      <c r="I159" s="42"/>
    </row>
    <row r="160">
      <c r="C160" s="41"/>
      <c r="H160" s="42"/>
      <c r="I160" s="42"/>
    </row>
    <row r="161">
      <c r="C161" s="41"/>
      <c r="H161" s="42"/>
      <c r="I161" s="42"/>
    </row>
    <row r="162">
      <c r="C162" s="41"/>
      <c r="H162" s="42"/>
      <c r="I162" s="42"/>
    </row>
    <row r="163">
      <c r="C163" s="41"/>
      <c r="H163" s="42"/>
      <c r="I163" s="42"/>
    </row>
    <row r="164">
      <c r="C164" s="41"/>
      <c r="H164" s="42"/>
      <c r="I164" s="42"/>
    </row>
    <row r="165">
      <c r="C165" s="41"/>
      <c r="H165" s="42"/>
      <c r="I165" s="42"/>
    </row>
    <row r="166">
      <c r="C166" s="41"/>
      <c r="H166" s="42"/>
      <c r="I166" s="42"/>
    </row>
    <row r="167">
      <c r="C167" s="41"/>
      <c r="H167" s="42"/>
      <c r="I167" s="42"/>
    </row>
    <row r="168">
      <c r="C168" s="41"/>
      <c r="H168" s="42"/>
      <c r="I168" s="42"/>
    </row>
    <row r="169">
      <c r="C169" s="41"/>
      <c r="H169" s="42"/>
      <c r="I169" s="42"/>
    </row>
    <row r="170">
      <c r="C170" s="41"/>
      <c r="H170" s="42"/>
      <c r="I170" s="42"/>
    </row>
    <row r="171">
      <c r="C171" s="41"/>
      <c r="H171" s="42"/>
      <c r="I171" s="42"/>
    </row>
    <row r="172">
      <c r="C172" s="41"/>
      <c r="H172" s="42"/>
      <c r="I172" s="42"/>
    </row>
    <row r="173">
      <c r="C173" s="41"/>
      <c r="H173" s="42"/>
      <c r="I173" s="42"/>
    </row>
    <row r="174">
      <c r="C174" s="41"/>
      <c r="H174" s="42"/>
      <c r="I174" s="42"/>
    </row>
    <row r="175">
      <c r="C175" s="41"/>
      <c r="H175" s="42"/>
      <c r="I175" s="42"/>
    </row>
    <row r="176">
      <c r="C176" s="41"/>
      <c r="H176" s="42"/>
      <c r="I176" s="42"/>
    </row>
    <row r="177">
      <c r="C177" s="41"/>
      <c r="H177" s="42"/>
      <c r="I177" s="42"/>
    </row>
    <row r="178">
      <c r="C178" s="41"/>
      <c r="H178" s="42"/>
      <c r="I178" s="42"/>
    </row>
    <row r="179">
      <c r="C179" s="41"/>
      <c r="H179" s="42"/>
      <c r="I179" s="42"/>
    </row>
    <row r="180">
      <c r="C180" s="41"/>
      <c r="H180" s="42"/>
      <c r="I180" s="42"/>
    </row>
    <row r="181">
      <c r="C181" s="41"/>
      <c r="H181" s="42"/>
      <c r="I181" s="42"/>
    </row>
    <row r="182">
      <c r="C182" s="41"/>
      <c r="H182" s="42"/>
      <c r="I182" s="42"/>
    </row>
    <row r="183">
      <c r="C183" s="41"/>
      <c r="H183" s="42"/>
      <c r="I183" s="42"/>
    </row>
    <row r="184">
      <c r="C184" s="41"/>
      <c r="H184" s="42"/>
      <c r="I184" s="42"/>
    </row>
    <row r="185">
      <c r="C185" s="41"/>
      <c r="H185" s="42"/>
      <c r="I185" s="42"/>
    </row>
    <row r="186">
      <c r="C186" s="41"/>
      <c r="H186" s="42"/>
      <c r="I186" s="42"/>
    </row>
    <row r="187">
      <c r="C187" s="41"/>
      <c r="H187" s="42"/>
      <c r="I187" s="42"/>
    </row>
    <row r="188">
      <c r="C188" s="41"/>
      <c r="H188" s="42"/>
      <c r="I188" s="42"/>
    </row>
    <row r="189">
      <c r="C189" s="41"/>
      <c r="H189" s="42"/>
      <c r="I189" s="42"/>
    </row>
    <row r="190">
      <c r="C190" s="41"/>
      <c r="H190" s="42"/>
      <c r="I190" s="42"/>
    </row>
    <row r="191">
      <c r="C191" s="41"/>
      <c r="H191" s="42"/>
      <c r="I191" s="42"/>
    </row>
    <row r="192">
      <c r="C192" s="41"/>
      <c r="H192" s="42"/>
      <c r="I192" s="42"/>
    </row>
    <row r="193">
      <c r="C193" s="41"/>
      <c r="H193" s="42"/>
      <c r="I193" s="42"/>
    </row>
    <row r="194">
      <c r="C194" s="41"/>
      <c r="H194" s="42"/>
      <c r="I194" s="42"/>
    </row>
    <row r="195">
      <c r="C195" s="41"/>
      <c r="H195" s="42"/>
      <c r="I195" s="42"/>
    </row>
    <row r="196">
      <c r="C196" s="41"/>
      <c r="H196" s="42"/>
      <c r="I196" s="42"/>
    </row>
    <row r="197">
      <c r="C197" s="41"/>
      <c r="H197" s="42"/>
      <c r="I197" s="42"/>
    </row>
    <row r="198">
      <c r="C198" s="41"/>
      <c r="H198" s="42"/>
      <c r="I198" s="42"/>
    </row>
    <row r="199">
      <c r="C199" s="41"/>
      <c r="H199" s="42"/>
      <c r="I199" s="42"/>
    </row>
    <row r="200">
      <c r="C200" s="41"/>
      <c r="H200" s="42"/>
      <c r="I200" s="42"/>
    </row>
    <row r="201">
      <c r="C201" s="41"/>
      <c r="H201" s="42"/>
      <c r="I201" s="42"/>
    </row>
    <row r="202">
      <c r="C202" s="41"/>
      <c r="H202" s="42"/>
      <c r="I202" s="42"/>
    </row>
    <row r="203">
      <c r="C203" s="41"/>
      <c r="H203" s="42"/>
      <c r="I203" s="42"/>
    </row>
    <row r="204">
      <c r="C204" s="41"/>
      <c r="H204" s="42"/>
      <c r="I204" s="42"/>
    </row>
    <row r="205">
      <c r="C205" s="41"/>
      <c r="H205" s="42"/>
      <c r="I205" s="42"/>
    </row>
    <row r="206">
      <c r="C206" s="41"/>
      <c r="H206" s="42"/>
      <c r="I206" s="42"/>
    </row>
    <row r="207">
      <c r="C207" s="41"/>
      <c r="H207" s="42"/>
      <c r="I207" s="42"/>
    </row>
    <row r="208">
      <c r="C208" s="41"/>
      <c r="H208" s="42"/>
      <c r="I208" s="42"/>
    </row>
    <row r="209">
      <c r="C209" s="41"/>
      <c r="H209" s="42"/>
      <c r="I209" s="42"/>
    </row>
    <row r="210">
      <c r="C210" s="41"/>
      <c r="H210" s="42"/>
      <c r="I210" s="42"/>
    </row>
    <row r="211">
      <c r="C211" s="41"/>
      <c r="H211" s="42"/>
      <c r="I211" s="42"/>
    </row>
    <row r="212">
      <c r="C212" s="41"/>
      <c r="H212" s="42"/>
      <c r="I212" s="42"/>
    </row>
    <row r="213">
      <c r="C213" s="41"/>
      <c r="H213" s="42"/>
      <c r="I213" s="42"/>
    </row>
    <row r="214">
      <c r="C214" s="41"/>
      <c r="H214" s="42"/>
      <c r="I214" s="42"/>
    </row>
    <row r="215">
      <c r="C215" s="41"/>
      <c r="H215" s="42"/>
      <c r="I215" s="42"/>
    </row>
    <row r="216">
      <c r="C216" s="41"/>
      <c r="H216" s="42"/>
      <c r="I216" s="42"/>
    </row>
    <row r="217">
      <c r="C217" s="41"/>
      <c r="H217" s="42"/>
      <c r="I217" s="42"/>
    </row>
    <row r="218">
      <c r="C218" s="41"/>
      <c r="H218" s="42"/>
      <c r="I218" s="42"/>
    </row>
    <row r="219">
      <c r="C219" s="41"/>
      <c r="H219" s="42"/>
      <c r="I219" s="42"/>
    </row>
    <row r="220">
      <c r="C220" s="41"/>
      <c r="H220" s="42"/>
      <c r="I220" s="42"/>
    </row>
    <row r="221">
      <c r="C221" s="41"/>
      <c r="H221" s="42"/>
      <c r="I221" s="42"/>
    </row>
    <row r="222">
      <c r="C222" s="41"/>
      <c r="H222" s="42"/>
      <c r="I222" s="42"/>
    </row>
    <row r="223">
      <c r="C223" s="41"/>
      <c r="H223" s="42"/>
      <c r="I223" s="42"/>
    </row>
    <row r="224">
      <c r="C224" s="41"/>
      <c r="H224" s="42"/>
      <c r="I224" s="42"/>
    </row>
    <row r="225">
      <c r="C225" s="41"/>
      <c r="H225" s="42"/>
      <c r="I225" s="42"/>
    </row>
    <row r="226">
      <c r="C226" s="41"/>
      <c r="H226" s="42"/>
      <c r="I226" s="42"/>
    </row>
    <row r="227">
      <c r="C227" s="41"/>
      <c r="H227" s="42"/>
      <c r="I227" s="42"/>
    </row>
    <row r="228">
      <c r="C228" s="41"/>
      <c r="H228" s="42"/>
      <c r="I228" s="42"/>
    </row>
    <row r="229">
      <c r="C229" s="41"/>
      <c r="H229" s="42"/>
      <c r="I229" s="42"/>
    </row>
    <row r="230">
      <c r="C230" s="41"/>
      <c r="H230" s="42"/>
      <c r="I230" s="42"/>
    </row>
    <row r="231">
      <c r="C231" s="41"/>
      <c r="H231" s="42"/>
      <c r="I231" s="42"/>
    </row>
    <row r="232">
      <c r="C232" s="41"/>
      <c r="H232" s="42"/>
      <c r="I232" s="42"/>
    </row>
    <row r="233">
      <c r="C233" s="41"/>
      <c r="H233" s="42"/>
      <c r="I233" s="42"/>
    </row>
    <row r="234">
      <c r="C234" s="41"/>
      <c r="H234" s="42"/>
      <c r="I234" s="42"/>
    </row>
    <row r="235">
      <c r="C235" s="41"/>
      <c r="H235" s="42"/>
      <c r="I235" s="42"/>
    </row>
    <row r="236">
      <c r="C236" s="41"/>
      <c r="H236" s="42"/>
      <c r="I236" s="42"/>
    </row>
    <row r="237">
      <c r="C237" s="41"/>
      <c r="H237" s="42"/>
      <c r="I237" s="42"/>
    </row>
    <row r="238">
      <c r="C238" s="41"/>
      <c r="H238" s="42"/>
      <c r="I238" s="42"/>
    </row>
    <row r="239">
      <c r="C239" s="41"/>
      <c r="H239" s="42"/>
      <c r="I239" s="42"/>
    </row>
    <row r="240">
      <c r="C240" s="41"/>
      <c r="H240" s="42"/>
      <c r="I240" s="42"/>
    </row>
    <row r="241">
      <c r="C241" s="41"/>
      <c r="H241" s="42"/>
      <c r="I241" s="42"/>
    </row>
    <row r="242">
      <c r="C242" s="41"/>
      <c r="H242" s="42"/>
      <c r="I242" s="42"/>
    </row>
    <row r="243">
      <c r="C243" s="41"/>
      <c r="H243" s="42"/>
      <c r="I243" s="42"/>
    </row>
    <row r="244">
      <c r="C244" s="41"/>
      <c r="H244" s="42"/>
      <c r="I244" s="42"/>
    </row>
    <row r="245">
      <c r="C245" s="41"/>
      <c r="H245" s="42"/>
      <c r="I245" s="42"/>
    </row>
    <row r="246">
      <c r="C246" s="41"/>
      <c r="H246" s="42"/>
      <c r="I246" s="42"/>
    </row>
    <row r="247">
      <c r="C247" s="41"/>
      <c r="H247" s="42"/>
      <c r="I247" s="42"/>
    </row>
    <row r="248">
      <c r="C248" s="41"/>
      <c r="H248" s="42"/>
      <c r="I248" s="42"/>
    </row>
    <row r="249">
      <c r="C249" s="41"/>
      <c r="H249" s="42"/>
      <c r="I249" s="42"/>
    </row>
    <row r="250">
      <c r="C250" s="41"/>
      <c r="H250" s="42"/>
      <c r="I250" s="42"/>
    </row>
    <row r="251">
      <c r="C251" s="41"/>
      <c r="H251" s="42"/>
      <c r="I251" s="42"/>
    </row>
    <row r="252">
      <c r="C252" s="41"/>
      <c r="H252" s="42"/>
      <c r="I252" s="42"/>
    </row>
    <row r="253">
      <c r="C253" s="41"/>
      <c r="H253" s="42"/>
      <c r="I253" s="42"/>
    </row>
    <row r="254">
      <c r="C254" s="41"/>
      <c r="H254" s="42"/>
      <c r="I254" s="42"/>
    </row>
    <row r="255">
      <c r="C255" s="41"/>
      <c r="H255" s="42"/>
      <c r="I255" s="42"/>
    </row>
    <row r="256">
      <c r="C256" s="41"/>
      <c r="H256" s="42"/>
      <c r="I256" s="42"/>
    </row>
    <row r="257">
      <c r="C257" s="41"/>
      <c r="H257" s="42"/>
      <c r="I257" s="42"/>
    </row>
    <row r="258">
      <c r="C258" s="41"/>
      <c r="H258" s="42"/>
      <c r="I258" s="42"/>
    </row>
    <row r="259">
      <c r="C259" s="41"/>
      <c r="H259" s="42"/>
      <c r="I259" s="42"/>
    </row>
    <row r="260">
      <c r="C260" s="41"/>
      <c r="H260" s="42"/>
      <c r="I260" s="42"/>
    </row>
    <row r="261">
      <c r="C261" s="41"/>
      <c r="H261" s="42"/>
      <c r="I261" s="42"/>
    </row>
    <row r="262">
      <c r="C262" s="41"/>
      <c r="H262" s="42"/>
      <c r="I262" s="42"/>
    </row>
    <row r="263">
      <c r="C263" s="41"/>
      <c r="H263" s="42"/>
      <c r="I263" s="42"/>
    </row>
    <row r="264">
      <c r="C264" s="41"/>
      <c r="H264" s="42"/>
      <c r="I264" s="42"/>
    </row>
    <row r="265">
      <c r="C265" s="41"/>
      <c r="H265" s="42"/>
      <c r="I265" s="42"/>
    </row>
    <row r="266">
      <c r="C266" s="41"/>
      <c r="H266" s="42"/>
      <c r="I266" s="42"/>
    </row>
    <row r="267">
      <c r="C267" s="41"/>
      <c r="H267" s="42"/>
      <c r="I267" s="42"/>
    </row>
    <row r="268">
      <c r="C268" s="41"/>
      <c r="H268" s="42"/>
      <c r="I268" s="42"/>
    </row>
    <row r="269">
      <c r="C269" s="41"/>
      <c r="H269" s="42"/>
      <c r="I269" s="42"/>
    </row>
    <row r="270">
      <c r="C270" s="41"/>
      <c r="H270" s="42"/>
      <c r="I270" s="42"/>
    </row>
    <row r="271">
      <c r="C271" s="41"/>
      <c r="H271" s="42"/>
      <c r="I271" s="42"/>
    </row>
    <row r="272">
      <c r="C272" s="41"/>
      <c r="H272" s="42"/>
      <c r="I272" s="42"/>
    </row>
    <row r="273">
      <c r="C273" s="41"/>
      <c r="H273" s="42"/>
      <c r="I273" s="42"/>
    </row>
    <row r="274">
      <c r="C274" s="41"/>
      <c r="H274" s="42"/>
      <c r="I274" s="42"/>
    </row>
    <row r="275">
      <c r="C275" s="41"/>
      <c r="H275" s="42"/>
      <c r="I275" s="42"/>
    </row>
    <row r="276">
      <c r="C276" s="41"/>
      <c r="H276" s="42"/>
      <c r="I276" s="42"/>
    </row>
    <row r="277">
      <c r="C277" s="41"/>
      <c r="H277" s="42"/>
      <c r="I277" s="42"/>
    </row>
    <row r="278">
      <c r="C278" s="41"/>
      <c r="H278" s="42"/>
      <c r="I278" s="42"/>
    </row>
    <row r="279">
      <c r="C279" s="41"/>
      <c r="H279" s="42"/>
      <c r="I279" s="42"/>
    </row>
    <row r="280">
      <c r="C280" s="41"/>
      <c r="H280" s="42"/>
      <c r="I280" s="42"/>
    </row>
    <row r="281">
      <c r="C281" s="41"/>
      <c r="H281" s="42"/>
      <c r="I281" s="42"/>
    </row>
    <row r="282">
      <c r="C282" s="41"/>
      <c r="H282" s="42"/>
      <c r="I282" s="42"/>
    </row>
    <row r="283">
      <c r="C283" s="41"/>
      <c r="H283" s="42"/>
      <c r="I283" s="42"/>
    </row>
    <row r="284">
      <c r="C284" s="41"/>
      <c r="H284" s="42"/>
      <c r="I284" s="42"/>
    </row>
    <row r="285">
      <c r="C285" s="41"/>
      <c r="H285" s="42"/>
      <c r="I285" s="42"/>
    </row>
    <row r="286">
      <c r="C286" s="41"/>
      <c r="H286" s="42"/>
      <c r="I286" s="42"/>
    </row>
    <row r="287">
      <c r="C287" s="41"/>
      <c r="H287" s="42"/>
      <c r="I287" s="42"/>
    </row>
    <row r="288">
      <c r="C288" s="41"/>
      <c r="H288" s="42"/>
      <c r="I288" s="42"/>
    </row>
    <row r="289">
      <c r="C289" s="41"/>
      <c r="H289" s="42"/>
      <c r="I289" s="42"/>
    </row>
    <row r="290">
      <c r="C290" s="41"/>
      <c r="H290" s="42"/>
      <c r="I290" s="42"/>
    </row>
    <row r="291">
      <c r="C291" s="41"/>
      <c r="H291" s="42"/>
      <c r="I291" s="42"/>
    </row>
    <row r="292">
      <c r="C292" s="41"/>
      <c r="H292" s="42"/>
      <c r="I292" s="42"/>
    </row>
    <row r="293">
      <c r="C293" s="41"/>
      <c r="H293" s="42"/>
      <c r="I293" s="42"/>
    </row>
    <row r="294">
      <c r="C294" s="41"/>
      <c r="H294" s="42"/>
      <c r="I294" s="42"/>
    </row>
    <row r="295">
      <c r="C295" s="41"/>
      <c r="H295" s="42"/>
      <c r="I295" s="42"/>
    </row>
    <row r="296">
      <c r="C296" s="41"/>
      <c r="H296" s="42"/>
      <c r="I296" s="42"/>
    </row>
    <row r="297">
      <c r="C297" s="41"/>
      <c r="H297" s="42"/>
      <c r="I297" s="42"/>
    </row>
    <row r="298">
      <c r="C298" s="41"/>
      <c r="H298" s="42"/>
      <c r="I298" s="42"/>
    </row>
    <row r="299">
      <c r="C299" s="41"/>
      <c r="H299" s="42"/>
      <c r="I299" s="42"/>
    </row>
    <row r="300">
      <c r="C300" s="41"/>
      <c r="H300" s="42"/>
      <c r="I300" s="42"/>
    </row>
    <row r="301">
      <c r="C301" s="41"/>
      <c r="H301" s="42"/>
      <c r="I301" s="42"/>
    </row>
    <row r="302">
      <c r="C302" s="41"/>
      <c r="H302" s="42"/>
      <c r="I302" s="42"/>
    </row>
    <row r="303">
      <c r="C303" s="41"/>
      <c r="H303" s="42"/>
      <c r="I303" s="42"/>
    </row>
    <row r="304">
      <c r="C304" s="41"/>
      <c r="H304" s="42"/>
      <c r="I304" s="42"/>
    </row>
    <row r="305">
      <c r="C305" s="41"/>
      <c r="H305" s="42"/>
      <c r="I305" s="42"/>
    </row>
    <row r="306">
      <c r="C306" s="41"/>
      <c r="H306" s="42"/>
      <c r="I306" s="42"/>
    </row>
    <row r="307">
      <c r="C307" s="41"/>
      <c r="H307" s="42"/>
      <c r="I307" s="42"/>
    </row>
    <row r="308">
      <c r="C308" s="41"/>
      <c r="H308" s="42"/>
      <c r="I308" s="42"/>
    </row>
    <row r="309">
      <c r="C309" s="41"/>
      <c r="H309" s="42"/>
      <c r="I309" s="42"/>
    </row>
    <row r="310">
      <c r="C310" s="41"/>
      <c r="H310" s="42"/>
      <c r="I310" s="42"/>
    </row>
    <row r="311">
      <c r="C311" s="41"/>
      <c r="H311" s="42"/>
      <c r="I311" s="42"/>
    </row>
    <row r="312">
      <c r="C312" s="41"/>
      <c r="H312" s="42"/>
      <c r="I312" s="42"/>
    </row>
    <row r="313">
      <c r="C313" s="41"/>
      <c r="H313" s="42"/>
      <c r="I313" s="42"/>
    </row>
    <row r="314">
      <c r="C314" s="41"/>
      <c r="H314" s="42"/>
      <c r="I314" s="42"/>
    </row>
    <row r="315">
      <c r="C315" s="41"/>
      <c r="H315" s="42"/>
      <c r="I315" s="42"/>
    </row>
    <row r="316">
      <c r="C316" s="41"/>
      <c r="H316" s="42"/>
      <c r="I316" s="42"/>
    </row>
    <row r="317">
      <c r="C317" s="41"/>
      <c r="H317" s="42"/>
      <c r="I317" s="42"/>
    </row>
    <row r="318">
      <c r="C318" s="41"/>
      <c r="H318" s="42"/>
      <c r="I318" s="42"/>
    </row>
    <row r="319">
      <c r="C319" s="41"/>
      <c r="H319" s="42"/>
      <c r="I319" s="42"/>
    </row>
    <row r="320">
      <c r="C320" s="41"/>
      <c r="H320" s="42"/>
      <c r="I320" s="42"/>
    </row>
    <row r="321">
      <c r="C321" s="41"/>
      <c r="H321" s="42"/>
      <c r="I321" s="42"/>
    </row>
    <row r="322">
      <c r="C322" s="41"/>
      <c r="H322" s="42"/>
      <c r="I322" s="42"/>
    </row>
    <row r="323">
      <c r="C323" s="41"/>
      <c r="H323" s="42"/>
      <c r="I323" s="42"/>
    </row>
    <row r="324">
      <c r="C324" s="41"/>
      <c r="H324" s="42"/>
      <c r="I324" s="42"/>
    </row>
    <row r="325">
      <c r="C325" s="41"/>
      <c r="H325" s="42"/>
      <c r="I325" s="42"/>
    </row>
    <row r="326">
      <c r="C326" s="41"/>
      <c r="H326" s="42"/>
      <c r="I326" s="42"/>
    </row>
    <row r="327">
      <c r="C327" s="41"/>
      <c r="H327" s="42"/>
      <c r="I327" s="42"/>
    </row>
    <row r="328">
      <c r="C328" s="41"/>
      <c r="H328" s="42"/>
      <c r="I328" s="42"/>
    </row>
    <row r="329">
      <c r="C329" s="41"/>
      <c r="H329" s="42"/>
      <c r="I329" s="42"/>
    </row>
    <row r="330">
      <c r="C330" s="41"/>
      <c r="H330" s="42"/>
      <c r="I330" s="42"/>
    </row>
    <row r="331">
      <c r="C331" s="41"/>
      <c r="H331" s="42"/>
      <c r="I331" s="42"/>
    </row>
    <row r="332">
      <c r="C332" s="41"/>
      <c r="H332" s="42"/>
      <c r="I332" s="42"/>
    </row>
    <row r="333">
      <c r="C333" s="41"/>
      <c r="H333" s="42"/>
      <c r="I333" s="42"/>
    </row>
    <row r="334">
      <c r="C334" s="41"/>
      <c r="H334" s="42"/>
      <c r="I334" s="42"/>
    </row>
    <row r="335">
      <c r="C335" s="41"/>
      <c r="H335" s="42"/>
      <c r="I335" s="42"/>
    </row>
    <row r="336">
      <c r="C336" s="41"/>
      <c r="H336" s="42"/>
      <c r="I336" s="42"/>
    </row>
    <row r="337">
      <c r="C337" s="41"/>
      <c r="H337" s="42"/>
      <c r="I337" s="42"/>
    </row>
    <row r="338">
      <c r="C338" s="41"/>
      <c r="H338" s="42"/>
      <c r="I338" s="42"/>
    </row>
    <row r="339">
      <c r="C339" s="41"/>
      <c r="H339" s="42"/>
      <c r="I339" s="42"/>
    </row>
    <row r="340">
      <c r="C340" s="41"/>
      <c r="H340" s="42"/>
      <c r="I340" s="42"/>
    </row>
    <row r="341">
      <c r="C341" s="41"/>
      <c r="H341" s="42"/>
      <c r="I341" s="42"/>
    </row>
    <row r="342">
      <c r="C342" s="41"/>
      <c r="H342" s="42"/>
      <c r="I342" s="42"/>
    </row>
    <row r="343">
      <c r="C343" s="41"/>
      <c r="H343" s="42"/>
      <c r="I343" s="42"/>
    </row>
    <row r="344">
      <c r="C344" s="41"/>
      <c r="H344" s="42"/>
      <c r="I344" s="42"/>
    </row>
    <row r="345">
      <c r="C345" s="41"/>
      <c r="H345" s="42"/>
      <c r="I345" s="42"/>
    </row>
    <row r="346">
      <c r="C346" s="41"/>
      <c r="H346" s="42"/>
      <c r="I346" s="42"/>
    </row>
    <row r="347">
      <c r="C347" s="41"/>
      <c r="H347" s="42"/>
      <c r="I347" s="42"/>
    </row>
    <row r="348">
      <c r="C348" s="41"/>
      <c r="H348" s="42"/>
      <c r="I348" s="42"/>
    </row>
    <row r="349">
      <c r="C349" s="41"/>
      <c r="H349" s="42"/>
      <c r="I349" s="42"/>
    </row>
    <row r="350">
      <c r="C350" s="41"/>
      <c r="H350" s="42"/>
      <c r="I350" s="42"/>
    </row>
    <row r="351">
      <c r="C351" s="41"/>
      <c r="H351" s="42"/>
      <c r="I351" s="42"/>
    </row>
    <row r="352">
      <c r="C352" s="41"/>
      <c r="H352" s="42"/>
      <c r="I352" s="42"/>
    </row>
    <row r="353">
      <c r="C353" s="41"/>
      <c r="H353" s="42"/>
      <c r="I353" s="42"/>
    </row>
    <row r="354">
      <c r="C354" s="41"/>
      <c r="H354" s="42"/>
      <c r="I354" s="42"/>
    </row>
    <row r="355">
      <c r="C355" s="41"/>
      <c r="H355" s="42"/>
      <c r="I355" s="42"/>
    </row>
    <row r="356">
      <c r="C356" s="41"/>
      <c r="H356" s="42"/>
      <c r="I356" s="42"/>
    </row>
    <row r="357">
      <c r="C357" s="41"/>
      <c r="H357" s="42"/>
      <c r="I357" s="42"/>
    </row>
    <row r="358">
      <c r="C358" s="41"/>
      <c r="H358" s="42"/>
      <c r="I358" s="42"/>
    </row>
    <row r="359">
      <c r="C359" s="41"/>
      <c r="H359" s="42"/>
      <c r="I359" s="42"/>
    </row>
    <row r="360">
      <c r="C360" s="41"/>
      <c r="H360" s="42"/>
      <c r="I360" s="42"/>
    </row>
    <row r="361">
      <c r="C361" s="41"/>
      <c r="H361" s="42"/>
      <c r="I361" s="42"/>
    </row>
    <row r="362">
      <c r="C362" s="41"/>
      <c r="H362" s="42"/>
      <c r="I362" s="42"/>
    </row>
    <row r="363">
      <c r="C363" s="41"/>
      <c r="H363" s="42"/>
      <c r="I363" s="42"/>
    </row>
    <row r="364">
      <c r="C364" s="41"/>
      <c r="H364" s="42"/>
      <c r="I364" s="42"/>
    </row>
    <row r="365">
      <c r="C365" s="41"/>
      <c r="H365" s="42"/>
      <c r="I365" s="42"/>
    </row>
    <row r="366">
      <c r="C366" s="41"/>
      <c r="H366" s="42"/>
      <c r="I366" s="42"/>
    </row>
    <row r="367">
      <c r="C367" s="41"/>
      <c r="H367" s="42"/>
      <c r="I367" s="42"/>
    </row>
    <row r="368">
      <c r="C368" s="41"/>
      <c r="H368" s="42"/>
      <c r="I368" s="42"/>
    </row>
    <row r="369">
      <c r="C369" s="41"/>
      <c r="H369" s="42"/>
      <c r="I369" s="42"/>
    </row>
    <row r="370">
      <c r="C370" s="41"/>
      <c r="H370" s="42"/>
      <c r="I370" s="42"/>
    </row>
    <row r="371">
      <c r="C371" s="41"/>
      <c r="H371" s="42"/>
      <c r="I371" s="42"/>
    </row>
    <row r="372">
      <c r="C372" s="41"/>
      <c r="H372" s="42"/>
      <c r="I372" s="42"/>
    </row>
    <row r="373">
      <c r="C373" s="41"/>
      <c r="H373" s="42"/>
      <c r="I373" s="42"/>
    </row>
    <row r="374">
      <c r="C374" s="41"/>
      <c r="H374" s="42"/>
      <c r="I374" s="42"/>
    </row>
    <row r="375">
      <c r="C375" s="41"/>
      <c r="H375" s="42"/>
      <c r="I375" s="42"/>
    </row>
    <row r="376">
      <c r="C376" s="41"/>
      <c r="H376" s="42"/>
      <c r="I376" s="42"/>
    </row>
    <row r="377">
      <c r="C377" s="41"/>
      <c r="H377" s="42"/>
      <c r="I377" s="42"/>
    </row>
    <row r="378">
      <c r="C378" s="41"/>
      <c r="H378" s="42"/>
      <c r="I378" s="42"/>
    </row>
    <row r="379">
      <c r="C379" s="41"/>
      <c r="H379" s="42"/>
      <c r="I379" s="42"/>
    </row>
    <row r="380">
      <c r="C380" s="41"/>
      <c r="H380" s="42"/>
      <c r="I380" s="42"/>
    </row>
    <row r="381">
      <c r="C381" s="41"/>
      <c r="H381" s="42"/>
      <c r="I381" s="42"/>
    </row>
    <row r="382">
      <c r="C382" s="41"/>
      <c r="H382" s="42"/>
      <c r="I382" s="42"/>
    </row>
    <row r="383">
      <c r="C383" s="41"/>
      <c r="H383" s="42"/>
      <c r="I383" s="42"/>
    </row>
    <row r="384">
      <c r="C384" s="41"/>
      <c r="H384" s="42"/>
      <c r="I384" s="42"/>
    </row>
    <row r="385">
      <c r="C385" s="41"/>
      <c r="H385" s="42"/>
      <c r="I385" s="42"/>
    </row>
    <row r="386">
      <c r="C386" s="41"/>
      <c r="H386" s="42"/>
      <c r="I386" s="42"/>
    </row>
    <row r="387">
      <c r="C387" s="41"/>
      <c r="H387" s="42"/>
      <c r="I387" s="42"/>
    </row>
    <row r="388">
      <c r="C388" s="41"/>
      <c r="H388" s="42"/>
      <c r="I388" s="42"/>
    </row>
    <row r="389">
      <c r="C389" s="41"/>
      <c r="H389" s="42"/>
      <c r="I389" s="42"/>
    </row>
    <row r="390">
      <c r="C390" s="41"/>
      <c r="H390" s="42"/>
      <c r="I390" s="42"/>
    </row>
    <row r="391">
      <c r="C391" s="41"/>
      <c r="H391" s="42"/>
      <c r="I391" s="42"/>
    </row>
    <row r="392">
      <c r="C392" s="41"/>
      <c r="H392" s="42"/>
      <c r="I392" s="42"/>
    </row>
    <row r="393">
      <c r="C393" s="41"/>
      <c r="H393" s="42"/>
      <c r="I393" s="42"/>
    </row>
    <row r="394">
      <c r="C394" s="41"/>
      <c r="H394" s="42"/>
      <c r="I394" s="42"/>
    </row>
    <row r="395">
      <c r="C395" s="41"/>
      <c r="H395" s="42"/>
      <c r="I395" s="42"/>
    </row>
    <row r="396">
      <c r="C396" s="41"/>
      <c r="H396" s="42"/>
      <c r="I396" s="42"/>
    </row>
    <row r="397">
      <c r="C397" s="41"/>
      <c r="H397" s="42"/>
      <c r="I397" s="42"/>
    </row>
    <row r="398">
      <c r="C398" s="41"/>
      <c r="H398" s="42"/>
      <c r="I398" s="42"/>
    </row>
    <row r="399">
      <c r="C399" s="41"/>
      <c r="H399" s="42"/>
      <c r="I399" s="42"/>
    </row>
    <row r="400">
      <c r="C400" s="41"/>
      <c r="H400" s="42"/>
      <c r="I400" s="42"/>
    </row>
    <row r="401">
      <c r="C401" s="41"/>
      <c r="H401" s="42"/>
      <c r="I401" s="42"/>
    </row>
    <row r="402">
      <c r="C402" s="41"/>
      <c r="H402" s="42"/>
      <c r="I402" s="42"/>
    </row>
    <row r="403">
      <c r="C403" s="41"/>
      <c r="H403" s="42"/>
      <c r="I403" s="42"/>
    </row>
    <row r="404">
      <c r="C404" s="41"/>
      <c r="H404" s="42"/>
      <c r="I404" s="42"/>
    </row>
    <row r="405">
      <c r="C405" s="41"/>
      <c r="H405" s="42"/>
      <c r="I405" s="42"/>
    </row>
    <row r="406">
      <c r="C406" s="41"/>
      <c r="H406" s="42"/>
      <c r="I406" s="42"/>
    </row>
    <row r="407">
      <c r="C407" s="41"/>
      <c r="H407" s="42"/>
      <c r="I407" s="42"/>
    </row>
    <row r="408">
      <c r="C408" s="41"/>
      <c r="H408" s="42"/>
      <c r="I408" s="42"/>
    </row>
    <row r="409">
      <c r="C409" s="41"/>
      <c r="H409" s="42"/>
      <c r="I409" s="42"/>
    </row>
    <row r="410">
      <c r="C410" s="41"/>
      <c r="H410" s="42"/>
      <c r="I410" s="42"/>
    </row>
    <row r="411">
      <c r="C411" s="41"/>
      <c r="H411" s="42"/>
      <c r="I411" s="42"/>
    </row>
    <row r="412">
      <c r="C412" s="41"/>
      <c r="H412" s="42"/>
      <c r="I412" s="42"/>
    </row>
    <row r="413">
      <c r="C413" s="41"/>
      <c r="H413" s="42"/>
      <c r="I413" s="42"/>
    </row>
    <row r="414">
      <c r="C414" s="41"/>
      <c r="H414" s="42"/>
      <c r="I414" s="42"/>
    </row>
    <row r="415">
      <c r="C415" s="41"/>
      <c r="H415" s="42"/>
      <c r="I415" s="42"/>
    </row>
    <row r="416">
      <c r="C416" s="41"/>
      <c r="H416" s="42"/>
      <c r="I416" s="42"/>
    </row>
    <row r="417">
      <c r="C417" s="41"/>
      <c r="H417" s="42"/>
      <c r="I417" s="42"/>
    </row>
    <row r="418">
      <c r="C418" s="41"/>
      <c r="H418" s="42"/>
      <c r="I418" s="42"/>
    </row>
    <row r="419">
      <c r="C419" s="41"/>
      <c r="H419" s="42"/>
      <c r="I419" s="42"/>
    </row>
    <row r="420">
      <c r="C420" s="41"/>
      <c r="H420" s="42"/>
      <c r="I420" s="42"/>
    </row>
    <row r="421">
      <c r="C421" s="41"/>
      <c r="H421" s="42"/>
      <c r="I421" s="42"/>
    </row>
    <row r="422">
      <c r="C422" s="41"/>
      <c r="H422" s="42"/>
      <c r="I422" s="42"/>
    </row>
    <row r="423">
      <c r="C423" s="41"/>
      <c r="H423" s="42"/>
      <c r="I423" s="42"/>
    </row>
    <row r="424">
      <c r="C424" s="41"/>
      <c r="H424" s="42"/>
      <c r="I424" s="42"/>
    </row>
    <row r="425">
      <c r="C425" s="41"/>
      <c r="H425" s="42"/>
      <c r="I425" s="42"/>
    </row>
    <row r="426">
      <c r="C426" s="41"/>
      <c r="H426" s="42"/>
      <c r="I426" s="42"/>
    </row>
    <row r="427">
      <c r="C427" s="41"/>
      <c r="H427" s="42"/>
      <c r="I427" s="42"/>
    </row>
    <row r="428">
      <c r="C428" s="41"/>
      <c r="H428" s="42"/>
      <c r="I428" s="42"/>
    </row>
    <row r="429">
      <c r="C429" s="41"/>
      <c r="H429" s="42"/>
      <c r="I429" s="42"/>
    </row>
    <row r="430">
      <c r="C430" s="41"/>
      <c r="H430" s="42"/>
      <c r="I430" s="42"/>
    </row>
    <row r="431">
      <c r="C431" s="41"/>
      <c r="H431" s="42"/>
      <c r="I431" s="42"/>
    </row>
    <row r="432">
      <c r="C432" s="41"/>
      <c r="H432" s="42"/>
      <c r="I432" s="42"/>
    </row>
    <row r="433">
      <c r="C433" s="41"/>
      <c r="H433" s="42"/>
      <c r="I433" s="42"/>
    </row>
    <row r="434">
      <c r="C434" s="41"/>
      <c r="H434" s="42"/>
      <c r="I434" s="42"/>
    </row>
    <row r="435">
      <c r="C435" s="41"/>
      <c r="H435" s="42"/>
      <c r="I435" s="42"/>
    </row>
    <row r="436">
      <c r="C436" s="41"/>
      <c r="H436" s="42"/>
      <c r="I436" s="42"/>
    </row>
    <row r="437">
      <c r="C437" s="41"/>
      <c r="H437" s="42"/>
      <c r="I437" s="42"/>
    </row>
    <row r="438">
      <c r="C438" s="41"/>
      <c r="H438" s="42"/>
      <c r="I438" s="42"/>
    </row>
    <row r="439">
      <c r="C439" s="41"/>
      <c r="H439" s="42"/>
      <c r="I439" s="42"/>
    </row>
    <row r="440">
      <c r="C440" s="41"/>
      <c r="H440" s="42"/>
      <c r="I440" s="42"/>
    </row>
    <row r="441">
      <c r="C441" s="41"/>
      <c r="H441" s="42"/>
      <c r="I441" s="42"/>
    </row>
    <row r="442">
      <c r="C442" s="41"/>
      <c r="H442" s="42"/>
      <c r="I442" s="42"/>
    </row>
    <row r="443">
      <c r="C443" s="41"/>
      <c r="H443" s="42"/>
      <c r="I443" s="42"/>
    </row>
    <row r="444">
      <c r="C444" s="41"/>
      <c r="H444" s="42"/>
      <c r="I444" s="42"/>
    </row>
    <row r="445">
      <c r="C445" s="41"/>
      <c r="H445" s="42"/>
      <c r="I445" s="42"/>
    </row>
    <row r="446">
      <c r="C446" s="41"/>
      <c r="H446" s="42"/>
      <c r="I446" s="42"/>
    </row>
    <row r="447">
      <c r="C447" s="41"/>
      <c r="H447" s="42"/>
      <c r="I447" s="42"/>
    </row>
    <row r="448">
      <c r="C448" s="41"/>
      <c r="H448" s="42"/>
      <c r="I448" s="42"/>
    </row>
    <row r="449">
      <c r="C449" s="41"/>
      <c r="H449" s="42"/>
      <c r="I449" s="42"/>
    </row>
    <row r="450">
      <c r="C450" s="41"/>
      <c r="H450" s="42"/>
      <c r="I450" s="42"/>
    </row>
    <row r="451">
      <c r="C451" s="41"/>
      <c r="H451" s="42"/>
      <c r="I451" s="42"/>
    </row>
    <row r="452">
      <c r="C452" s="41"/>
      <c r="H452" s="42"/>
      <c r="I452" s="42"/>
    </row>
    <row r="453">
      <c r="C453" s="41"/>
      <c r="H453" s="42"/>
      <c r="I453" s="42"/>
    </row>
    <row r="454">
      <c r="C454" s="41"/>
      <c r="H454" s="42"/>
      <c r="I454" s="42"/>
    </row>
    <row r="455">
      <c r="C455" s="41"/>
      <c r="H455" s="42"/>
      <c r="I455" s="42"/>
    </row>
    <row r="456">
      <c r="C456" s="41"/>
      <c r="H456" s="42"/>
      <c r="I456" s="42"/>
    </row>
    <row r="457">
      <c r="C457" s="41"/>
      <c r="H457" s="42"/>
      <c r="I457" s="42"/>
    </row>
    <row r="458">
      <c r="C458" s="41"/>
      <c r="H458" s="42"/>
      <c r="I458" s="42"/>
    </row>
    <row r="459">
      <c r="C459" s="41"/>
      <c r="H459" s="42"/>
      <c r="I459" s="42"/>
    </row>
    <row r="460">
      <c r="C460" s="41"/>
      <c r="H460" s="42"/>
      <c r="I460" s="42"/>
    </row>
    <row r="461">
      <c r="C461" s="41"/>
      <c r="H461" s="42"/>
      <c r="I461" s="42"/>
    </row>
    <row r="462">
      <c r="C462" s="41"/>
      <c r="H462" s="42"/>
      <c r="I462" s="42"/>
    </row>
    <row r="463">
      <c r="C463" s="41"/>
      <c r="H463" s="42"/>
      <c r="I463" s="42"/>
    </row>
    <row r="464">
      <c r="C464" s="41"/>
      <c r="H464" s="42"/>
      <c r="I464" s="42"/>
    </row>
    <row r="465">
      <c r="C465" s="41"/>
      <c r="H465" s="42"/>
      <c r="I465" s="42"/>
    </row>
    <row r="466">
      <c r="C466" s="41"/>
      <c r="H466" s="42"/>
      <c r="I466" s="42"/>
    </row>
    <row r="467">
      <c r="C467" s="41"/>
      <c r="H467" s="42"/>
      <c r="I467" s="42"/>
    </row>
    <row r="468">
      <c r="C468" s="41"/>
      <c r="H468" s="42"/>
      <c r="I468" s="42"/>
    </row>
    <row r="469">
      <c r="C469" s="41"/>
      <c r="H469" s="42"/>
      <c r="I469" s="42"/>
    </row>
    <row r="470">
      <c r="C470" s="41"/>
      <c r="H470" s="42"/>
      <c r="I470" s="42"/>
    </row>
    <row r="471">
      <c r="C471" s="41"/>
      <c r="H471" s="42"/>
      <c r="I471" s="42"/>
    </row>
    <row r="472">
      <c r="C472" s="41"/>
      <c r="H472" s="42"/>
      <c r="I472" s="42"/>
    </row>
    <row r="473">
      <c r="C473" s="41"/>
      <c r="H473" s="42"/>
      <c r="I473" s="42"/>
    </row>
    <row r="474">
      <c r="C474" s="41"/>
      <c r="H474" s="42"/>
      <c r="I474" s="42"/>
    </row>
    <row r="475">
      <c r="C475" s="41"/>
      <c r="H475" s="42"/>
      <c r="I475" s="42"/>
    </row>
    <row r="476">
      <c r="C476" s="41"/>
      <c r="H476" s="42"/>
      <c r="I476" s="42"/>
    </row>
    <row r="477">
      <c r="C477" s="41"/>
      <c r="H477" s="42"/>
      <c r="I477" s="42"/>
    </row>
    <row r="478">
      <c r="C478" s="41"/>
      <c r="H478" s="42"/>
      <c r="I478" s="42"/>
    </row>
    <row r="479">
      <c r="C479" s="41"/>
      <c r="H479" s="42"/>
      <c r="I479" s="42"/>
    </row>
    <row r="480">
      <c r="C480" s="41"/>
      <c r="H480" s="42"/>
      <c r="I480" s="42"/>
    </row>
    <row r="481">
      <c r="C481" s="41"/>
      <c r="H481" s="42"/>
      <c r="I481" s="42"/>
    </row>
    <row r="482">
      <c r="C482" s="41"/>
      <c r="H482" s="42"/>
      <c r="I482" s="42"/>
    </row>
    <row r="483">
      <c r="C483" s="41"/>
      <c r="H483" s="42"/>
      <c r="I483" s="42"/>
    </row>
    <row r="484">
      <c r="C484" s="41"/>
      <c r="H484" s="42"/>
      <c r="I484" s="42"/>
    </row>
    <row r="485">
      <c r="C485" s="41"/>
      <c r="H485" s="42"/>
      <c r="I485" s="42"/>
    </row>
    <row r="486">
      <c r="C486" s="41"/>
      <c r="H486" s="42"/>
      <c r="I486" s="42"/>
    </row>
    <row r="487">
      <c r="C487" s="41"/>
      <c r="H487" s="42"/>
      <c r="I487" s="42"/>
    </row>
    <row r="488">
      <c r="C488" s="41"/>
      <c r="H488" s="42"/>
      <c r="I488" s="42"/>
    </row>
    <row r="489">
      <c r="C489" s="41"/>
      <c r="H489" s="42"/>
      <c r="I489" s="42"/>
    </row>
    <row r="490">
      <c r="C490" s="41"/>
      <c r="H490" s="42"/>
      <c r="I490" s="42"/>
    </row>
    <row r="491">
      <c r="C491" s="41"/>
      <c r="H491" s="42"/>
      <c r="I491" s="42"/>
    </row>
    <row r="492">
      <c r="C492" s="41"/>
      <c r="H492" s="42"/>
      <c r="I492" s="42"/>
    </row>
    <row r="493">
      <c r="C493" s="41"/>
      <c r="H493" s="42"/>
      <c r="I493" s="42"/>
    </row>
    <row r="494">
      <c r="C494" s="41"/>
      <c r="H494" s="42"/>
      <c r="I494" s="42"/>
    </row>
    <row r="495">
      <c r="C495" s="41"/>
      <c r="H495" s="42"/>
      <c r="I495" s="42"/>
    </row>
    <row r="496">
      <c r="C496" s="41"/>
      <c r="H496" s="42"/>
      <c r="I496" s="42"/>
    </row>
    <row r="497">
      <c r="C497" s="41"/>
      <c r="H497" s="42"/>
      <c r="I497" s="42"/>
    </row>
    <row r="498">
      <c r="C498" s="41"/>
      <c r="H498" s="42"/>
      <c r="I498" s="42"/>
    </row>
    <row r="499">
      <c r="C499" s="41"/>
      <c r="H499" s="42"/>
      <c r="I499" s="42"/>
    </row>
    <row r="500">
      <c r="C500" s="41"/>
      <c r="H500" s="42"/>
      <c r="I500" s="42"/>
    </row>
    <row r="501">
      <c r="C501" s="41"/>
      <c r="H501" s="42"/>
      <c r="I501" s="42"/>
    </row>
    <row r="502">
      <c r="C502" s="41"/>
      <c r="H502" s="42"/>
      <c r="I502" s="42"/>
    </row>
    <row r="503">
      <c r="C503" s="41"/>
      <c r="H503" s="42"/>
      <c r="I503" s="42"/>
    </row>
    <row r="504">
      <c r="C504" s="41"/>
      <c r="H504" s="42"/>
      <c r="I504" s="42"/>
    </row>
    <row r="505">
      <c r="C505" s="41"/>
      <c r="H505" s="42"/>
      <c r="I505" s="42"/>
    </row>
    <row r="506">
      <c r="C506" s="41"/>
      <c r="H506" s="42"/>
      <c r="I506" s="42"/>
    </row>
    <row r="507">
      <c r="C507" s="41"/>
      <c r="H507" s="42"/>
      <c r="I507" s="42"/>
    </row>
    <row r="508">
      <c r="C508" s="41"/>
      <c r="H508" s="42"/>
      <c r="I508" s="42"/>
    </row>
    <row r="509">
      <c r="C509" s="41"/>
      <c r="H509" s="42"/>
      <c r="I509" s="42"/>
    </row>
    <row r="510">
      <c r="C510" s="41"/>
      <c r="H510" s="42"/>
      <c r="I510" s="42"/>
    </row>
    <row r="511">
      <c r="C511" s="41"/>
      <c r="H511" s="42"/>
      <c r="I511" s="42"/>
    </row>
    <row r="512">
      <c r="C512" s="41"/>
      <c r="H512" s="42"/>
      <c r="I512" s="42"/>
    </row>
    <row r="513">
      <c r="C513" s="41"/>
      <c r="H513" s="42"/>
      <c r="I513" s="42"/>
    </row>
    <row r="514">
      <c r="C514" s="41"/>
      <c r="H514" s="42"/>
      <c r="I514" s="42"/>
    </row>
    <row r="515">
      <c r="C515" s="41"/>
      <c r="H515" s="42"/>
      <c r="I515" s="42"/>
    </row>
    <row r="516">
      <c r="C516" s="41"/>
      <c r="H516" s="42"/>
      <c r="I516" s="42"/>
    </row>
    <row r="517">
      <c r="C517" s="41"/>
      <c r="H517" s="42"/>
      <c r="I517" s="42"/>
    </row>
    <row r="518">
      <c r="C518" s="41"/>
      <c r="H518" s="42"/>
      <c r="I518" s="42"/>
    </row>
    <row r="519">
      <c r="C519" s="41"/>
      <c r="H519" s="42"/>
      <c r="I519" s="42"/>
    </row>
    <row r="520">
      <c r="C520" s="41"/>
      <c r="H520" s="42"/>
      <c r="I520" s="42"/>
    </row>
    <row r="521">
      <c r="C521" s="41"/>
      <c r="H521" s="42"/>
      <c r="I521" s="42"/>
    </row>
    <row r="522">
      <c r="C522" s="41"/>
      <c r="H522" s="42"/>
      <c r="I522" s="42"/>
    </row>
    <row r="523">
      <c r="C523" s="41"/>
      <c r="H523" s="42"/>
      <c r="I523" s="42"/>
    </row>
    <row r="524">
      <c r="C524" s="41"/>
      <c r="H524" s="42"/>
      <c r="I524" s="42"/>
    </row>
    <row r="525">
      <c r="C525" s="41"/>
      <c r="H525" s="42"/>
      <c r="I525" s="42"/>
    </row>
    <row r="526">
      <c r="C526" s="41"/>
      <c r="H526" s="42"/>
      <c r="I526" s="42"/>
    </row>
    <row r="527">
      <c r="C527" s="41"/>
      <c r="H527" s="42"/>
      <c r="I527" s="42"/>
    </row>
    <row r="528">
      <c r="C528" s="41"/>
      <c r="H528" s="42"/>
      <c r="I528" s="42"/>
    </row>
    <row r="529">
      <c r="C529" s="41"/>
      <c r="H529" s="42"/>
      <c r="I529" s="42"/>
    </row>
    <row r="530">
      <c r="C530" s="41"/>
      <c r="H530" s="42"/>
      <c r="I530" s="42"/>
    </row>
    <row r="531">
      <c r="C531" s="41"/>
      <c r="H531" s="42"/>
      <c r="I531" s="42"/>
    </row>
    <row r="532">
      <c r="C532" s="41"/>
      <c r="H532" s="42"/>
      <c r="I532" s="42"/>
    </row>
    <row r="533">
      <c r="C533" s="41"/>
      <c r="H533" s="42"/>
      <c r="I533" s="42"/>
    </row>
    <row r="534">
      <c r="C534" s="41"/>
      <c r="H534" s="42"/>
      <c r="I534" s="42"/>
    </row>
    <row r="535">
      <c r="C535" s="41"/>
      <c r="H535" s="42"/>
      <c r="I535" s="42"/>
    </row>
    <row r="536">
      <c r="C536" s="41"/>
      <c r="H536" s="42"/>
      <c r="I536" s="42"/>
    </row>
    <row r="537">
      <c r="C537" s="41"/>
      <c r="H537" s="42"/>
      <c r="I537" s="42"/>
    </row>
    <row r="538">
      <c r="C538" s="41"/>
      <c r="H538" s="42"/>
      <c r="I538" s="42"/>
    </row>
    <row r="539">
      <c r="C539" s="41"/>
      <c r="H539" s="42"/>
      <c r="I539" s="42"/>
    </row>
    <row r="540">
      <c r="C540" s="41"/>
      <c r="H540" s="42"/>
      <c r="I540" s="42"/>
    </row>
    <row r="541">
      <c r="C541" s="41"/>
      <c r="H541" s="42"/>
      <c r="I541" s="42"/>
    </row>
    <row r="542">
      <c r="C542" s="41"/>
      <c r="H542" s="42"/>
      <c r="I542" s="42"/>
    </row>
    <row r="543">
      <c r="C543" s="41"/>
      <c r="H543" s="42"/>
      <c r="I543" s="42"/>
    </row>
    <row r="544">
      <c r="C544" s="41"/>
      <c r="H544" s="42"/>
      <c r="I544" s="42"/>
    </row>
    <row r="545">
      <c r="C545" s="41"/>
      <c r="H545" s="42"/>
      <c r="I545" s="42"/>
    </row>
    <row r="546">
      <c r="C546" s="41"/>
      <c r="H546" s="42"/>
      <c r="I546" s="42"/>
    </row>
    <row r="547">
      <c r="C547" s="41"/>
      <c r="H547" s="42"/>
      <c r="I547" s="42"/>
    </row>
    <row r="548">
      <c r="C548" s="41"/>
      <c r="H548" s="42"/>
      <c r="I548" s="42"/>
    </row>
    <row r="549">
      <c r="C549" s="41"/>
      <c r="H549" s="42"/>
      <c r="I549" s="42"/>
    </row>
    <row r="550">
      <c r="C550" s="41"/>
      <c r="H550" s="42"/>
      <c r="I550" s="42"/>
    </row>
    <row r="551">
      <c r="C551" s="41"/>
      <c r="H551" s="42"/>
      <c r="I551" s="42"/>
    </row>
    <row r="552">
      <c r="C552" s="41"/>
      <c r="H552" s="42"/>
      <c r="I552" s="42"/>
    </row>
    <row r="553">
      <c r="C553" s="41"/>
      <c r="H553" s="42"/>
      <c r="I553" s="42"/>
    </row>
    <row r="554">
      <c r="C554" s="41"/>
      <c r="H554" s="42"/>
      <c r="I554" s="42"/>
    </row>
    <row r="555">
      <c r="C555" s="41"/>
      <c r="H555" s="42"/>
      <c r="I555" s="42"/>
    </row>
    <row r="556">
      <c r="C556" s="41"/>
      <c r="H556" s="42"/>
      <c r="I556" s="42"/>
    </row>
    <row r="557">
      <c r="C557" s="41"/>
      <c r="H557" s="42"/>
      <c r="I557" s="42"/>
    </row>
    <row r="558">
      <c r="C558" s="41"/>
      <c r="H558" s="42"/>
      <c r="I558" s="42"/>
    </row>
    <row r="559">
      <c r="C559" s="41"/>
      <c r="H559" s="42"/>
      <c r="I559" s="42"/>
    </row>
    <row r="560">
      <c r="C560" s="41"/>
      <c r="H560" s="42"/>
      <c r="I560" s="42"/>
    </row>
    <row r="561">
      <c r="C561" s="41"/>
      <c r="H561" s="42"/>
      <c r="I561" s="42"/>
    </row>
    <row r="562">
      <c r="C562" s="41"/>
      <c r="H562" s="42"/>
      <c r="I562" s="42"/>
    </row>
    <row r="563">
      <c r="C563" s="41"/>
      <c r="H563" s="42"/>
      <c r="I563" s="42"/>
    </row>
    <row r="564">
      <c r="C564" s="41"/>
      <c r="H564" s="42"/>
      <c r="I564" s="42"/>
    </row>
    <row r="565">
      <c r="C565" s="41"/>
      <c r="H565" s="42"/>
      <c r="I565" s="42"/>
    </row>
    <row r="566">
      <c r="C566" s="41"/>
      <c r="H566" s="42"/>
      <c r="I566" s="42"/>
    </row>
    <row r="567">
      <c r="C567" s="41"/>
      <c r="H567" s="42"/>
      <c r="I567" s="42"/>
    </row>
    <row r="568">
      <c r="C568" s="41"/>
      <c r="H568" s="42"/>
      <c r="I568" s="42"/>
    </row>
    <row r="569">
      <c r="C569" s="41"/>
      <c r="H569" s="42"/>
      <c r="I569" s="42"/>
    </row>
    <row r="570">
      <c r="C570" s="41"/>
      <c r="H570" s="42"/>
      <c r="I570" s="42"/>
    </row>
    <row r="571">
      <c r="C571" s="41"/>
      <c r="H571" s="42"/>
      <c r="I571" s="42"/>
    </row>
    <row r="572">
      <c r="C572" s="41"/>
      <c r="H572" s="42"/>
      <c r="I572" s="42"/>
    </row>
    <row r="573">
      <c r="C573" s="41"/>
      <c r="H573" s="42"/>
      <c r="I573" s="42"/>
    </row>
    <row r="574">
      <c r="C574" s="41"/>
      <c r="H574" s="42"/>
      <c r="I574" s="42"/>
    </row>
    <row r="575">
      <c r="C575" s="41"/>
      <c r="H575" s="42"/>
      <c r="I575" s="42"/>
    </row>
    <row r="576">
      <c r="C576" s="41"/>
      <c r="H576" s="42"/>
      <c r="I576" s="42"/>
    </row>
    <row r="577">
      <c r="C577" s="41"/>
      <c r="H577" s="42"/>
      <c r="I577" s="42"/>
    </row>
    <row r="578">
      <c r="C578" s="41"/>
      <c r="H578" s="42"/>
      <c r="I578" s="42"/>
    </row>
    <row r="579">
      <c r="C579" s="41"/>
      <c r="H579" s="42"/>
      <c r="I579" s="42"/>
    </row>
    <row r="580">
      <c r="C580" s="41"/>
      <c r="H580" s="42"/>
      <c r="I580" s="42"/>
    </row>
    <row r="581">
      <c r="C581" s="41"/>
      <c r="H581" s="42"/>
      <c r="I581" s="42"/>
    </row>
    <row r="582">
      <c r="C582" s="41"/>
      <c r="H582" s="42"/>
      <c r="I582" s="42"/>
    </row>
    <row r="583">
      <c r="C583" s="41"/>
      <c r="H583" s="42"/>
      <c r="I583" s="42"/>
    </row>
    <row r="584">
      <c r="C584" s="41"/>
      <c r="H584" s="42"/>
      <c r="I584" s="42"/>
    </row>
    <row r="585">
      <c r="C585" s="41"/>
      <c r="H585" s="42"/>
      <c r="I585" s="42"/>
    </row>
    <row r="586">
      <c r="C586" s="41"/>
      <c r="H586" s="42"/>
      <c r="I586" s="42"/>
    </row>
    <row r="587">
      <c r="C587" s="41"/>
      <c r="H587" s="42"/>
      <c r="I587" s="42"/>
    </row>
    <row r="588">
      <c r="C588" s="41"/>
      <c r="H588" s="42"/>
      <c r="I588" s="42"/>
    </row>
    <row r="589">
      <c r="C589" s="41"/>
      <c r="H589" s="42"/>
      <c r="I589" s="42"/>
    </row>
    <row r="590">
      <c r="C590" s="41"/>
      <c r="H590" s="42"/>
      <c r="I590" s="42"/>
    </row>
    <row r="591">
      <c r="C591" s="41"/>
      <c r="H591" s="42"/>
      <c r="I591" s="42"/>
    </row>
    <row r="592">
      <c r="C592" s="41"/>
      <c r="H592" s="42"/>
      <c r="I592" s="42"/>
    </row>
    <row r="593">
      <c r="C593" s="41"/>
      <c r="H593" s="42"/>
      <c r="I593" s="42"/>
    </row>
    <row r="594">
      <c r="C594" s="41"/>
      <c r="H594" s="42"/>
      <c r="I594" s="42"/>
    </row>
    <row r="595">
      <c r="C595" s="41"/>
      <c r="H595" s="42"/>
      <c r="I595" s="42"/>
    </row>
    <row r="596">
      <c r="C596" s="41"/>
      <c r="H596" s="42"/>
      <c r="I596" s="42"/>
    </row>
    <row r="597">
      <c r="C597" s="41"/>
      <c r="H597" s="42"/>
      <c r="I597" s="42"/>
    </row>
    <row r="598">
      <c r="C598" s="41"/>
      <c r="H598" s="42"/>
      <c r="I598" s="42"/>
    </row>
    <row r="599">
      <c r="C599" s="41"/>
      <c r="H599" s="42"/>
      <c r="I599" s="42"/>
    </row>
    <row r="600">
      <c r="C600" s="41"/>
      <c r="H600" s="42"/>
      <c r="I600" s="42"/>
    </row>
    <row r="601">
      <c r="C601" s="41"/>
      <c r="H601" s="42"/>
      <c r="I601" s="42"/>
    </row>
    <row r="602">
      <c r="C602" s="41"/>
      <c r="H602" s="42"/>
      <c r="I602" s="42"/>
    </row>
    <row r="603">
      <c r="C603" s="41"/>
      <c r="H603" s="42"/>
      <c r="I603" s="42"/>
    </row>
    <row r="604">
      <c r="C604" s="41"/>
      <c r="H604" s="42"/>
      <c r="I604" s="42"/>
    </row>
    <row r="605">
      <c r="C605" s="41"/>
      <c r="H605" s="42"/>
      <c r="I605" s="42"/>
    </row>
    <row r="606">
      <c r="C606" s="41"/>
      <c r="H606" s="42"/>
      <c r="I606" s="42"/>
    </row>
    <row r="607">
      <c r="C607" s="41"/>
      <c r="H607" s="42"/>
      <c r="I607" s="42"/>
    </row>
    <row r="608">
      <c r="C608" s="41"/>
      <c r="H608" s="42"/>
      <c r="I608" s="42"/>
    </row>
    <row r="609">
      <c r="C609" s="41"/>
      <c r="H609" s="42"/>
      <c r="I609" s="42"/>
    </row>
    <row r="610">
      <c r="C610" s="41"/>
      <c r="H610" s="42"/>
      <c r="I610" s="42"/>
    </row>
    <row r="611">
      <c r="C611" s="41"/>
      <c r="H611" s="42"/>
      <c r="I611" s="42"/>
    </row>
    <row r="612">
      <c r="C612" s="41"/>
      <c r="H612" s="42"/>
      <c r="I612" s="42"/>
    </row>
    <row r="613">
      <c r="C613" s="41"/>
      <c r="H613" s="42"/>
      <c r="I613" s="42"/>
    </row>
    <row r="614">
      <c r="C614" s="41"/>
      <c r="H614" s="42"/>
      <c r="I614" s="42"/>
    </row>
    <row r="615">
      <c r="C615" s="41"/>
      <c r="H615" s="42"/>
      <c r="I615" s="42"/>
    </row>
    <row r="616">
      <c r="C616" s="41"/>
      <c r="H616" s="42"/>
      <c r="I616" s="42"/>
    </row>
    <row r="617">
      <c r="C617" s="41"/>
      <c r="H617" s="42"/>
      <c r="I617" s="42"/>
    </row>
    <row r="618">
      <c r="C618" s="41"/>
      <c r="H618" s="42"/>
      <c r="I618" s="42"/>
    </row>
    <row r="619">
      <c r="C619" s="41"/>
      <c r="H619" s="42"/>
      <c r="I619" s="42"/>
    </row>
    <row r="620">
      <c r="C620" s="41"/>
      <c r="H620" s="42"/>
      <c r="I620" s="42"/>
    </row>
    <row r="621">
      <c r="C621" s="41"/>
      <c r="H621" s="42"/>
      <c r="I621" s="42"/>
    </row>
    <row r="622">
      <c r="C622" s="41"/>
      <c r="H622" s="42"/>
      <c r="I622" s="42"/>
    </row>
    <row r="623">
      <c r="C623" s="41"/>
      <c r="H623" s="42"/>
      <c r="I623" s="42"/>
    </row>
    <row r="624">
      <c r="C624" s="41"/>
      <c r="H624" s="42"/>
      <c r="I624" s="42"/>
    </row>
    <row r="625">
      <c r="C625" s="41"/>
      <c r="H625" s="42"/>
      <c r="I625" s="42"/>
    </row>
    <row r="626">
      <c r="C626" s="41"/>
      <c r="H626" s="42"/>
      <c r="I626" s="42"/>
    </row>
    <row r="627">
      <c r="C627" s="41"/>
      <c r="H627" s="42"/>
      <c r="I627" s="42"/>
    </row>
    <row r="628">
      <c r="C628" s="41"/>
      <c r="H628" s="42"/>
      <c r="I628" s="42"/>
    </row>
    <row r="629">
      <c r="C629" s="41"/>
      <c r="H629" s="42"/>
      <c r="I629" s="42"/>
    </row>
    <row r="630">
      <c r="C630" s="41"/>
      <c r="H630" s="42"/>
      <c r="I630" s="42"/>
    </row>
    <row r="631">
      <c r="C631" s="41"/>
      <c r="H631" s="42"/>
      <c r="I631" s="42"/>
    </row>
    <row r="632">
      <c r="C632" s="41"/>
      <c r="H632" s="42"/>
      <c r="I632" s="42"/>
    </row>
    <row r="633">
      <c r="C633" s="41"/>
      <c r="H633" s="42"/>
      <c r="I633" s="42"/>
    </row>
    <row r="634">
      <c r="C634" s="41"/>
      <c r="H634" s="42"/>
      <c r="I634" s="42"/>
    </row>
    <row r="635">
      <c r="C635" s="41"/>
      <c r="H635" s="42"/>
      <c r="I635" s="42"/>
    </row>
    <row r="636">
      <c r="C636" s="41"/>
      <c r="H636" s="42"/>
      <c r="I636" s="42"/>
    </row>
    <row r="637">
      <c r="C637" s="41"/>
      <c r="H637" s="42"/>
      <c r="I637" s="42"/>
    </row>
    <row r="638">
      <c r="C638" s="41"/>
      <c r="H638" s="42"/>
      <c r="I638" s="42"/>
    </row>
    <row r="639">
      <c r="C639" s="41"/>
      <c r="H639" s="42"/>
      <c r="I639" s="42"/>
    </row>
    <row r="640">
      <c r="C640" s="41"/>
      <c r="H640" s="42"/>
      <c r="I640" s="42"/>
    </row>
    <row r="641">
      <c r="C641" s="41"/>
      <c r="H641" s="42"/>
      <c r="I641" s="42"/>
    </row>
    <row r="642">
      <c r="C642" s="41"/>
      <c r="H642" s="42"/>
      <c r="I642" s="42"/>
    </row>
    <row r="643">
      <c r="C643" s="41"/>
      <c r="H643" s="42"/>
      <c r="I643" s="42"/>
    </row>
    <row r="644">
      <c r="C644" s="41"/>
      <c r="H644" s="42"/>
      <c r="I644" s="42"/>
    </row>
    <row r="645">
      <c r="C645" s="41"/>
      <c r="H645" s="42"/>
      <c r="I645" s="42"/>
    </row>
    <row r="646">
      <c r="C646" s="41"/>
      <c r="H646" s="42"/>
      <c r="I646" s="42"/>
    </row>
    <row r="647">
      <c r="C647" s="41"/>
      <c r="H647" s="42"/>
      <c r="I647" s="42"/>
    </row>
    <row r="648">
      <c r="C648" s="41"/>
      <c r="H648" s="42"/>
      <c r="I648" s="42"/>
    </row>
    <row r="649">
      <c r="C649" s="41"/>
      <c r="H649" s="42"/>
      <c r="I649" s="42"/>
    </row>
    <row r="650">
      <c r="C650" s="41"/>
      <c r="H650" s="42"/>
      <c r="I650" s="42"/>
    </row>
    <row r="651">
      <c r="C651" s="41"/>
      <c r="H651" s="42"/>
      <c r="I651" s="42"/>
    </row>
    <row r="652">
      <c r="C652" s="41"/>
      <c r="H652" s="42"/>
      <c r="I652" s="42"/>
    </row>
    <row r="653">
      <c r="C653" s="41"/>
      <c r="H653" s="42"/>
      <c r="I653" s="42"/>
    </row>
    <row r="654">
      <c r="C654" s="41"/>
      <c r="H654" s="42"/>
      <c r="I654" s="42"/>
    </row>
    <row r="655">
      <c r="C655" s="41"/>
      <c r="H655" s="42"/>
      <c r="I655" s="42"/>
    </row>
    <row r="656">
      <c r="C656" s="41"/>
      <c r="H656" s="42"/>
      <c r="I656" s="42"/>
    </row>
    <row r="657">
      <c r="C657" s="41"/>
      <c r="H657" s="42"/>
      <c r="I657" s="42"/>
    </row>
    <row r="658">
      <c r="C658" s="41"/>
      <c r="H658" s="42"/>
      <c r="I658" s="42"/>
    </row>
    <row r="659">
      <c r="C659" s="41"/>
      <c r="H659" s="42"/>
      <c r="I659" s="42"/>
    </row>
    <row r="660">
      <c r="C660" s="41"/>
      <c r="H660" s="42"/>
      <c r="I660" s="42"/>
    </row>
    <row r="661">
      <c r="C661" s="41"/>
      <c r="H661" s="42"/>
      <c r="I661" s="42"/>
    </row>
    <row r="662">
      <c r="C662" s="41"/>
      <c r="H662" s="42"/>
      <c r="I662" s="42"/>
    </row>
    <row r="663">
      <c r="C663" s="41"/>
      <c r="H663" s="42"/>
      <c r="I663" s="42"/>
    </row>
    <row r="664">
      <c r="C664" s="41"/>
      <c r="H664" s="42"/>
      <c r="I664" s="42"/>
    </row>
    <row r="665">
      <c r="C665" s="41"/>
      <c r="H665" s="42"/>
      <c r="I665" s="42"/>
    </row>
    <row r="666">
      <c r="C666" s="41"/>
      <c r="H666" s="42"/>
      <c r="I666" s="42"/>
    </row>
    <row r="667">
      <c r="C667" s="41"/>
      <c r="H667" s="42"/>
      <c r="I667" s="42"/>
    </row>
    <row r="668">
      <c r="C668" s="41"/>
      <c r="H668" s="42"/>
      <c r="I668" s="42"/>
    </row>
    <row r="669">
      <c r="C669" s="41"/>
      <c r="H669" s="42"/>
      <c r="I669" s="42"/>
    </row>
    <row r="670">
      <c r="C670" s="41"/>
      <c r="H670" s="42"/>
      <c r="I670" s="42"/>
    </row>
    <row r="671">
      <c r="C671" s="41"/>
      <c r="H671" s="42"/>
      <c r="I671" s="42"/>
    </row>
    <row r="672">
      <c r="C672" s="41"/>
      <c r="H672" s="42"/>
      <c r="I672" s="42"/>
    </row>
    <row r="673">
      <c r="C673" s="41"/>
      <c r="H673" s="42"/>
      <c r="I673" s="42"/>
    </row>
    <row r="674">
      <c r="C674" s="41"/>
      <c r="H674" s="42"/>
      <c r="I674" s="42"/>
    </row>
    <row r="675">
      <c r="C675" s="41"/>
      <c r="H675" s="42"/>
      <c r="I675" s="42"/>
    </row>
    <row r="676">
      <c r="C676" s="41"/>
      <c r="H676" s="42"/>
      <c r="I676" s="42"/>
    </row>
    <row r="677">
      <c r="C677" s="41"/>
      <c r="H677" s="42"/>
      <c r="I677" s="42"/>
    </row>
    <row r="678">
      <c r="C678" s="41"/>
      <c r="H678" s="42"/>
      <c r="I678" s="42"/>
    </row>
    <row r="679">
      <c r="C679" s="41"/>
      <c r="H679" s="42"/>
      <c r="I679" s="42"/>
    </row>
    <row r="680">
      <c r="C680" s="41"/>
      <c r="H680" s="42"/>
      <c r="I680" s="42"/>
    </row>
    <row r="681">
      <c r="C681" s="41"/>
      <c r="H681" s="42"/>
      <c r="I681" s="42"/>
    </row>
    <row r="682">
      <c r="C682" s="41"/>
      <c r="H682" s="42"/>
      <c r="I682" s="42"/>
    </row>
    <row r="683">
      <c r="C683" s="41"/>
      <c r="H683" s="42"/>
      <c r="I683" s="42"/>
    </row>
    <row r="684">
      <c r="C684" s="41"/>
      <c r="H684" s="42"/>
      <c r="I684" s="42"/>
    </row>
    <row r="685">
      <c r="C685" s="41"/>
      <c r="H685" s="42"/>
      <c r="I685" s="42"/>
    </row>
    <row r="686">
      <c r="C686" s="41"/>
      <c r="H686" s="42"/>
      <c r="I686" s="42"/>
    </row>
    <row r="687">
      <c r="C687" s="41"/>
      <c r="H687" s="42"/>
      <c r="I687" s="42"/>
    </row>
    <row r="688">
      <c r="C688" s="41"/>
      <c r="H688" s="42"/>
      <c r="I688" s="42"/>
    </row>
    <row r="689">
      <c r="C689" s="41"/>
      <c r="H689" s="42"/>
      <c r="I689" s="42"/>
    </row>
    <row r="690">
      <c r="C690" s="41"/>
      <c r="H690" s="42"/>
      <c r="I690" s="42"/>
    </row>
    <row r="691">
      <c r="C691" s="41"/>
      <c r="H691" s="42"/>
      <c r="I691" s="42"/>
    </row>
    <row r="692">
      <c r="C692" s="41"/>
      <c r="H692" s="42"/>
      <c r="I692" s="42"/>
    </row>
    <row r="693">
      <c r="C693" s="41"/>
      <c r="H693" s="42"/>
      <c r="I693" s="42"/>
    </row>
    <row r="694">
      <c r="C694" s="41"/>
      <c r="H694" s="42"/>
      <c r="I694" s="42"/>
    </row>
    <row r="695">
      <c r="C695" s="41"/>
      <c r="H695" s="42"/>
      <c r="I695" s="42"/>
    </row>
    <row r="696">
      <c r="C696" s="41"/>
      <c r="H696" s="42"/>
      <c r="I696" s="42"/>
    </row>
    <row r="697">
      <c r="C697" s="41"/>
      <c r="H697" s="42"/>
      <c r="I697" s="42"/>
    </row>
    <row r="698">
      <c r="C698" s="41"/>
      <c r="H698" s="42"/>
      <c r="I698" s="42"/>
    </row>
    <row r="699">
      <c r="C699" s="41"/>
      <c r="H699" s="42"/>
      <c r="I699" s="42"/>
    </row>
    <row r="700">
      <c r="C700" s="41"/>
      <c r="H700" s="42"/>
      <c r="I700" s="42"/>
    </row>
    <row r="701">
      <c r="C701" s="41"/>
      <c r="H701" s="42"/>
      <c r="I701" s="42"/>
    </row>
    <row r="702">
      <c r="C702" s="41"/>
      <c r="H702" s="42"/>
      <c r="I702" s="42"/>
    </row>
    <row r="703">
      <c r="C703" s="41"/>
      <c r="H703" s="42"/>
      <c r="I703" s="42"/>
    </row>
    <row r="704">
      <c r="C704" s="41"/>
      <c r="H704" s="42"/>
      <c r="I704" s="42"/>
    </row>
    <row r="705">
      <c r="C705" s="41"/>
      <c r="H705" s="42"/>
      <c r="I705" s="42"/>
    </row>
    <row r="706">
      <c r="C706" s="41"/>
      <c r="H706" s="42"/>
      <c r="I706" s="42"/>
    </row>
    <row r="707">
      <c r="C707" s="41"/>
      <c r="H707" s="42"/>
      <c r="I707" s="42"/>
    </row>
    <row r="708">
      <c r="C708" s="41"/>
      <c r="H708" s="42"/>
      <c r="I708" s="42"/>
    </row>
    <row r="709">
      <c r="C709" s="41"/>
      <c r="H709" s="42"/>
      <c r="I709" s="42"/>
    </row>
    <row r="710">
      <c r="C710" s="41"/>
      <c r="H710" s="42"/>
      <c r="I710" s="42"/>
    </row>
    <row r="711">
      <c r="C711" s="41"/>
      <c r="H711" s="42"/>
      <c r="I711" s="42"/>
    </row>
    <row r="712">
      <c r="C712" s="41"/>
      <c r="H712" s="42"/>
      <c r="I712" s="42"/>
    </row>
    <row r="713">
      <c r="C713" s="41"/>
      <c r="H713" s="42"/>
      <c r="I713" s="42"/>
    </row>
    <row r="714">
      <c r="C714" s="41"/>
      <c r="H714" s="42"/>
      <c r="I714" s="42"/>
    </row>
    <row r="715">
      <c r="C715" s="41"/>
      <c r="H715" s="42"/>
      <c r="I715" s="42"/>
    </row>
    <row r="716">
      <c r="C716" s="41"/>
      <c r="H716" s="42"/>
      <c r="I716" s="42"/>
    </row>
    <row r="717">
      <c r="C717" s="41"/>
      <c r="H717" s="42"/>
      <c r="I717" s="42"/>
    </row>
    <row r="718">
      <c r="C718" s="41"/>
      <c r="H718" s="42"/>
      <c r="I718" s="42"/>
    </row>
    <row r="719">
      <c r="C719" s="41"/>
      <c r="H719" s="42"/>
      <c r="I719" s="42"/>
    </row>
    <row r="720">
      <c r="C720" s="41"/>
      <c r="H720" s="42"/>
      <c r="I720" s="42"/>
    </row>
    <row r="721">
      <c r="C721" s="41"/>
      <c r="H721" s="42"/>
      <c r="I721" s="42"/>
    </row>
    <row r="722">
      <c r="C722" s="41"/>
      <c r="H722" s="42"/>
      <c r="I722" s="42"/>
    </row>
    <row r="723">
      <c r="C723" s="41"/>
      <c r="H723" s="42"/>
      <c r="I723" s="42"/>
    </row>
    <row r="724">
      <c r="C724" s="41"/>
      <c r="H724" s="42"/>
      <c r="I724" s="42"/>
    </row>
    <row r="725">
      <c r="C725" s="41"/>
      <c r="H725" s="42"/>
      <c r="I725" s="42"/>
    </row>
    <row r="726">
      <c r="C726" s="41"/>
      <c r="H726" s="42"/>
      <c r="I726" s="42"/>
    </row>
    <row r="727">
      <c r="C727" s="41"/>
      <c r="H727" s="42"/>
      <c r="I727" s="42"/>
    </row>
    <row r="728">
      <c r="C728" s="41"/>
      <c r="H728" s="42"/>
      <c r="I728" s="42"/>
    </row>
    <row r="729">
      <c r="C729" s="41"/>
      <c r="H729" s="42"/>
      <c r="I729" s="42"/>
    </row>
    <row r="730">
      <c r="C730" s="41"/>
      <c r="H730" s="42"/>
      <c r="I730" s="42"/>
    </row>
    <row r="731">
      <c r="C731" s="41"/>
      <c r="H731" s="42"/>
      <c r="I731" s="42"/>
    </row>
    <row r="732">
      <c r="C732" s="41"/>
      <c r="H732" s="42"/>
      <c r="I732" s="42"/>
    </row>
    <row r="733">
      <c r="C733" s="41"/>
      <c r="H733" s="42"/>
      <c r="I733" s="42"/>
    </row>
    <row r="734">
      <c r="C734" s="41"/>
      <c r="H734" s="42"/>
      <c r="I734" s="42"/>
    </row>
    <row r="735">
      <c r="C735" s="41"/>
      <c r="H735" s="42"/>
      <c r="I735" s="42"/>
    </row>
    <row r="736">
      <c r="C736" s="41"/>
      <c r="H736" s="42"/>
      <c r="I736" s="42"/>
    </row>
    <row r="737">
      <c r="C737" s="41"/>
      <c r="H737" s="42"/>
      <c r="I737" s="42"/>
    </row>
    <row r="738">
      <c r="C738" s="41"/>
      <c r="H738" s="42"/>
      <c r="I738" s="42"/>
    </row>
    <row r="739">
      <c r="C739" s="41"/>
      <c r="H739" s="42"/>
      <c r="I739" s="42"/>
    </row>
    <row r="740">
      <c r="C740" s="41"/>
      <c r="H740" s="42"/>
      <c r="I740" s="42"/>
    </row>
    <row r="741">
      <c r="C741" s="41"/>
      <c r="H741" s="42"/>
      <c r="I741" s="42"/>
    </row>
    <row r="742">
      <c r="C742" s="41"/>
      <c r="H742" s="42"/>
      <c r="I742" s="42"/>
    </row>
    <row r="743">
      <c r="C743" s="41"/>
      <c r="H743" s="42"/>
      <c r="I743" s="42"/>
    </row>
    <row r="744">
      <c r="C744" s="41"/>
      <c r="H744" s="42"/>
      <c r="I744" s="42"/>
    </row>
    <row r="745">
      <c r="C745" s="41"/>
      <c r="H745" s="42"/>
      <c r="I745" s="42"/>
    </row>
    <row r="746">
      <c r="C746" s="41"/>
      <c r="H746" s="42"/>
      <c r="I746" s="42"/>
    </row>
    <row r="747">
      <c r="C747" s="41"/>
      <c r="H747" s="42"/>
      <c r="I747" s="42"/>
    </row>
    <row r="748">
      <c r="C748" s="41"/>
      <c r="H748" s="42"/>
      <c r="I748" s="42"/>
    </row>
    <row r="749">
      <c r="C749" s="41"/>
      <c r="H749" s="42"/>
      <c r="I749" s="42"/>
    </row>
    <row r="750">
      <c r="C750" s="41"/>
      <c r="H750" s="42"/>
      <c r="I750" s="42"/>
    </row>
    <row r="751">
      <c r="C751" s="41"/>
      <c r="H751" s="42"/>
      <c r="I751" s="42"/>
    </row>
    <row r="752">
      <c r="C752" s="41"/>
      <c r="H752" s="42"/>
      <c r="I752" s="42"/>
    </row>
    <row r="753">
      <c r="C753" s="41"/>
      <c r="H753" s="42"/>
      <c r="I753" s="42"/>
    </row>
    <row r="754">
      <c r="C754" s="41"/>
      <c r="H754" s="42"/>
      <c r="I754" s="42"/>
    </row>
    <row r="755">
      <c r="C755" s="41"/>
      <c r="H755" s="42"/>
      <c r="I755" s="42"/>
    </row>
    <row r="756">
      <c r="C756" s="41"/>
      <c r="H756" s="42"/>
      <c r="I756" s="42"/>
    </row>
    <row r="757">
      <c r="C757" s="41"/>
      <c r="H757" s="42"/>
      <c r="I757" s="42"/>
    </row>
    <row r="758">
      <c r="C758" s="41"/>
      <c r="H758" s="42"/>
      <c r="I758" s="42"/>
    </row>
    <row r="759">
      <c r="C759" s="41"/>
      <c r="H759" s="42"/>
      <c r="I759" s="42"/>
    </row>
    <row r="760">
      <c r="C760" s="41"/>
      <c r="H760" s="42"/>
      <c r="I760" s="42"/>
    </row>
    <row r="761">
      <c r="C761" s="41"/>
      <c r="H761" s="42"/>
      <c r="I761" s="42"/>
    </row>
    <row r="762">
      <c r="C762" s="41"/>
      <c r="H762" s="42"/>
      <c r="I762" s="42"/>
    </row>
    <row r="763">
      <c r="C763" s="41"/>
      <c r="H763" s="42"/>
      <c r="I763" s="42"/>
    </row>
    <row r="764">
      <c r="C764" s="41"/>
      <c r="H764" s="42"/>
      <c r="I764" s="42"/>
    </row>
    <row r="765">
      <c r="C765" s="41"/>
      <c r="H765" s="42"/>
      <c r="I765" s="42"/>
    </row>
    <row r="766">
      <c r="C766" s="41"/>
      <c r="H766" s="42"/>
      <c r="I766" s="42"/>
    </row>
    <row r="767">
      <c r="C767" s="41"/>
      <c r="H767" s="42"/>
      <c r="I767" s="42"/>
    </row>
    <row r="768">
      <c r="C768" s="41"/>
      <c r="H768" s="42"/>
      <c r="I768" s="42"/>
    </row>
    <row r="769">
      <c r="C769" s="41"/>
      <c r="H769" s="42"/>
      <c r="I769" s="42"/>
    </row>
    <row r="770">
      <c r="C770" s="41"/>
      <c r="H770" s="42"/>
      <c r="I770" s="42"/>
    </row>
    <row r="771">
      <c r="C771" s="41"/>
      <c r="H771" s="42"/>
      <c r="I771" s="42"/>
    </row>
    <row r="772">
      <c r="C772" s="41"/>
      <c r="H772" s="42"/>
      <c r="I772" s="42"/>
    </row>
    <row r="773">
      <c r="C773" s="41"/>
      <c r="H773" s="42"/>
      <c r="I773" s="42"/>
    </row>
    <row r="774">
      <c r="C774" s="41"/>
      <c r="H774" s="42"/>
      <c r="I774" s="42"/>
    </row>
    <row r="775">
      <c r="C775" s="41"/>
      <c r="H775" s="42"/>
      <c r="I775" s="42"/>
    </row>
    <row r="776">
      <c r="C776" s="41"/>
      <c r="H776" s="42"/>
      <c r="I776" s="42"/>
    </row>
    <row r="777">
      <c r="C777" s="41"/>
      <c r="H777" s="42"/>
      <c r="I777" s="42"/>
    </row>
    <row r="778">
      <c r="C778" s="41"/>
      <c r="H778" s="42"/>
      <c r="I778" s="42"/>
    </row>
    <row r="779">
      <c r="C779" s="41"/>
      <c r="H779" s="42"/>
      <c r="I779" s="42"/>
    </row>
    <row r="780">
      <c r="C780" s="41"/>
      <c r="H780" s="42"/>
      <c r="I780" s="42"/>
    </row>
    <row r="781">
      <c r="C781" s="41"/>
      <c r="H781" s="42"/>
      <c r="I781" s="42"/>
    </row>
    <row r="782">
      <c r="C782" s="41"/>
      <c r="H782" s="42"/>
      <c r="I782" s="42"/>
    </row>
    <row r="783">
      <c r="C783" s="41"/>
      <c r="H783" s="42"/>
      <c r="I783" s="42"/>
    </row>
    <row r="784">
      <c r="C784" s="41"/>
      <c r="H784" s="42"/>
      <c r="I784" s="42"/>
    </row>
    <row r="785">
      <c r="C785" s="41"/>
      <c r="H785" s="42"/>
      <c r="I785" s="42"/>
    </row>
    <row r="786">
      <c r="C786" s="41"/>
      <c r="H786" s="42"/>
      <c r="I786" s="42"/>
    </row>
    <row r="787">
      <c r="C787" s="41"/>
      <c r="H787" s="42"/>
      <c r="I787" s="42"/>
    </row>
    <row r="788">
      <c r="C788" s="41"/>
      <c r="H788" s="42"/>
      <c r="I788" s="42"/>
    </row>
    <row r="789">
      <c r="C789" s="41"/>
      <c r="H789" s="42"/>
      <c r="I789" s="42"/>
    </row>
    <row r="790">
      <c r="C790" s="41"/>
      <c r="H790" s="42"/>
      <c r="I790" s="42"/>
    </row>
    <row r="791">
      <c r="C791" s="41"/>
      <c r="H791" s="42"/>
      <c r="I791" s="42"/>
    </row>
    <row r="792">
      <c r="C792" s="41"/>
      <c r="H792" s="42"/>
      <c r="I792" s="42"/>
    </row>
    <row r="793">
      <c r="C793" s="41"/>
      <c r="H793" s="42"/>
      <c r="I793" s="42"/>
    </row>
    <row r="794">
      <c r="C794" s="41"/>
      <c r="H794" s="42"/>
      <c r="I794" s="42"/>
    </row>
    <row r="795">
      <c r="C795" s="41"/>
      <c r="H795" s="42"/>
      <c r="I795" s="42"/>
    </row>
    <row r="796">
      <c r="C796" s="41"/>
      <c r="H796" s="42"/>
      <c r="I796" s="42"/>
    </row>
    <row r="797">
      <c r="C797" s="41"/>
      <c r="H797" s="42"/>
      <c r="I797" s="42"/>
    </row>
    <row r="798">
      <c r="C798" s="41"/>
      <c r="H798" s="42"/>
      <c r="I798" s="42"/>
    </row>
    <row r="799">
      <c r="C799" s="41"/>
      <c r="H799" s="42"/>
      <c r="I799" s="42"/>
    </row>
    <row r="800">
      <c r="C800" s="41"/>
      <c r="H800" s="42"/>
      <c r="I800" s="42"/>
    </row>
    <row r="801">
      <c r="C801" s="41"/>
      <c r="H801" s="42"/>
      <c r="I801" s="42"/>
    </row>
    <row r="802">
      <c r="C802" s="41"/>
      <c r="H802" s="42"/>
      <c r="I802" s="42"/>
    </row>
    <row r="803">
      <c r="C803" s="41"/>
      <c r="H803" s="42"/>
      <c r="I803" s="42"/>
    </row>
    <row r="804">
      <c r="C804" s="41"/>
      <c r="H804" s="42"/>
      <c r="I804" s="42"/>
    </row>
    <row r="805">
      <c r="C805" s="41"/>
      <c r="H805" s="42"/>
      <c r="I805" s="42"/>
    </row>
    <row r="806">
      <c r="C806" s="41"/>
      <c r="H806" s="42"/>
      <c r="I806" s="42"/>
    </row>
    <row r="807">
      <c r="C807" s="41"/>
      <c r="H807" s="42"/>
      <c r="I807" s="42"/>
    </row>
    <row r="808">
      <c r="C808" s="41"/>
      <c r="H808" s="42"/>
      <c r="I808" s="42"/>
    </row>
    <row r="809">
      <c r="C809" s="41"/>
      <c r="H809" s="42"/>
      <c r="I809" s="42"/>
    </row>
    <row r="810">
      <c r="C810" s="41"/>
      <c r="H810" s="42"/>
      <c r="I810" s="42"/>
    </row>
    <row r="811">
      <c r="C811" s="41"/>
      <c r="H811" s="42"/>
      <c r="I811" s="42"/>
    </row>
    <row r="812">
      <c r="C812" s="41"/>
      <c r="H812" s="42"/>
      <c r="I812" s="42"/>
    </row>
    <row r="813">
      <c r="C813" s="41"/>
      <c r="H813" s="42"/>
      <c r="I813" s="42"/>
    </row>
    <row r="814">
      <c r="C814" s="41"/>
      <c r="H814" s="42"/>
      <c r="I814" s="42"/>
    </row>
    <row r="815">
      <c r="C815" s="41"/>
      <c r="H815" s="42"/>
      <c r="I815" s="42"/>
    </row>
    <row r="816">
      <c r="C816" s="41"/>
      <c r="H816" s="42"/>
      <c r="I816" s="42"/>
    </row>
    <row r="817">
      <c r="C817" s="41"/>
      <c r="H817" s="42"/>
      <c r="I817" s="42"/>
    </row>
    <row r="818">
      <c r="C818" s="41"/>
      <c r="H818" s="42"/>
      <c r="I818" s="42"/>
    </row>
    <row r="819">
      <c r="C819" s="41"/>
      <c r="H819" s="42"/>
      <c r="I819" s="42"/>
    </row>
    <row r="820">
      <c r="C820" s="41"/>
      <c r="H820" s="42"/>
      <c r="I820" s="42"/>
    </row>
    <row r="821">
      <c r="C821" s="41"/>
      <c r="H821" s="42"/>
      <c r="I821" s="42"/>
    </row>
    <row r="822">
      <c r="C822" s="41"/>
      <c r="H822" s="42"/>
      <c r="I822" s="42"/>
    </row>
    <row r="823">
      <c r="C823" s="41"/>
      <c r="H823" s="42"/>
      <c r="I823" s="42"/>
    </row>
    <row r="824">
      <c r="C824" s="41"/>
      <c r="H824" s="42"/>
      <c r="I824" s="42"/>
    </row>
    <row r="825">
      <c r="C825" s="41"/>
      <c r="H825" s="42"/>
      <c r="I825" s="42"/>
    </row>
    <row r="826">
      <c r="C826" s="41"/>
      <c r="H826" s="42"/>
      <c r="I826" s="42"/>
    </row>
    <row r="827">
      <c r="C827" s="41"/>
      <c r="H827" s="42"/>
      <c r="I827" s="42"/>
    </row>
    <row r="828">
      <c r="C828" s="41"/>
      <c r="H828" s="42"/>
      <c r="I828" s="42"/>
    </row>
    <row r="829">
      <c r="C829" s="41"/>
      <c r="H829" s="42"/>
      <c r="I829" s="42"/>
    </row>
    <row r="830">
      <c r="C830" s="41"/>
      <c r="H830" s="42"/>
      <c r="I830" s="42"/>
    </row>
    <row r="831">
      <c r="C831" s="41"/>
      <c r="H831" s="42"/>
      <c r="I831" s="42"/>
    </row>
    <row r="832">
      <c r="C832" s="41"/>
      <c r="H832" s="42"/>
      <c r="I832" s="42"/>
    </row>
    <row r="833">
      <c r="C833" s="41"/>
      <c r="H833" s="42"/>
      <c r="I833" s="42"/>
    </row>
    <row r="834">
      <c r="C834" s="41"/>
      <c r="H834" s="42"/>
      <c r="I834" s="42"/>
    </row>
    <row r="835">
      <c r="C835" s="41"/>
      <c r="H835" s="42"/>
      <c r="I835" s="42"/>
    </row>
    <row r="836">
      <c r="C836" s="41"/>
      <c r="H836" s="42"/>
      <c r="I836" s="42"/>
    </row>
    <row r="837">
      <c r="C837" s="41"/>
      <c r="H837" s="42"/>
      <c r="I837" s="42"/>
    </row>
    <row r="838">
      <c r="C838" s="41"/>
      <c r="H838" s="42"/>
      <c r="I838" s="42"/>
    </row>
    <row r="839">
      <c r="C839" s="41"/>
      <c r="H839" s="42"/>
      <c r="I839" s="42"/>
    </row>
    <row r="840">
      <c r="C840" s="41"/>
      <c r="H840" s="42"/>
      <c r="I840" s="42"/>
    </row>
    <row r="841">
      <c r="C841" s="41"/>
      <c r="H841" s="42"/>
      <c r="I841" s="42"/>
    </row>
    <row r="842">
      <c r="C842" s="41"/>
      <c r="H842" s="42"/>
      <c r="I842" s="42"/>
    </row>
    <row r="843">
      <c r="C843" s="41"/>
      <c r="H843" s="42"/>
      <c r="I843" s="42"/>
    </row>
    <row r="844">
      <c r="C844" s="41"/>
      <c r="H844" s="42"/>
      <c r="I844" s="42"/>
    </row>
    <row r="845">
      <c r="C845" s="41"/>
      <c r="H845" s="42"/>
      <c r="I845" s="42"/>
    </row>
    <row r="846">
      <c r="C846" s="41"/>
      <c r="H846" s="42"/>
      <c r="I846" s="42"/>
    </row>
    <row r="847">
      <c r="C847" s="41"/>
      <c r="H847" s="42"/>
      <c r="I847" s="42"/>
    </row>
    <row r="848">
      <c r="C848" s="41"/>
      <c r="H848" s="42"/>
      <c r="I848" s="42"/>
    </row>
    <row r="849">
      <c r="C849" s="41"/>
      <c r="H849" s="42"/>
      <c r="I849" s="42"/>
    </row>
    <row r="850">
      <c r="C850" s="41"/>
      <c r="H850" s="42"/>
      <c r="I850" s="42"/>
    </row>
    <row r="851">
      <c r="C851" s="41"/>
      <c r="H851" s="42"/>
      <c r="I851" s="42"/>
    </row>
    <row r="852">
      <c r="C852" s="41"/>
      <c r="H852" s="42"/>
      <c r="I852" s="42"/>
    </row>
    <row r="853">
      <c r="C853" s="41"/>
      <c r="H853" s="42"/>
      <c r="I853" s="42"/>
    </row>
    <row r="854">
      <c r="C854" s="41"/>
      <c r="H854" s="42"/>
      <c r="I854" s="42"/>
    </row>
    <row r="855">
      <c r="C855" s="41"/>
      <c r="H855" s="42"/>
      <c r="I855" s="42"/>
    </row>
    <row r="856">
      <c r="C856" s="41"/>
      <c r="H856" s="42"/>
      <c r="I856" s="42"/>
    </row>
    <row r="857">
      <c r="C857" s="41"/>
      <c r="H857" s="42"/>
      <c r="I857" s="42"/>
    </row>
    <row r="858">
      <c r="C858" s="41"/>
      <c r="H858" s="42"/>
      <c r="I858" s="42"/>
    </row>
    <row r="859">
      <c r="C859" s="41"/>
      <c r="H859" s="42"/>
      <c r="I859" s="42"/>
    </row>
    <row r="860">
      <c r="C860" s="41"/>
      <c r="H860" s="42"/>
      <c r="I860" s="42"/>
    </row>
    <row r="861">
      <c r="C861" s="41"/>
      <c r="H861" s="42"/>
      <c r="I861" s="42"/>
    </row>
    <row r="862">
      <c r="C862" s="41"/>
      <c r="H862" s="42"/>
      <c r="I862" s="42"/>
    </row>
    <row r="863">
      <c r="C863" s="41"/>
      <c r="H863" s="42"/>
      <c r="I863" s="42"/>
    </row>
    <row r="864">
      <c r="C864" s="41"/>
      <c r="H864" s="42"/>
      <c r="I864" s="42"/>
    </row>
    <row r="865">
      <c r="C865" s="41"/>
      <c r="H865" s="42"/>
      <c r="I865" s="42"/>
    </row>
    <row r="866">
      <c r="C866" s="41"/>
      <c r="H866" s="42"/>
      <c r="I866" s="42"/>
    </row>
    <row r="867">
      <c r="C867" s="41"/>
      <c r="H867" s="42"/>
      <c r="I867" s="42"/>
    </row>
    <row r="868">
      <c r="C868" s="41"/>
      <c r="H868" s="42"/>
      <c r="I868" s="42"/>
    </row>
    <row r="869">
      <c r="C869" s="41"/>
      <c r="H869" s="42"/>
      <c r="I869" s="42"/>
    </row>
    <row r="870">
      <c r="C870" s="41"/>
      <c r="H870" s="42"/>
      <c r="I870" s="42"/>
    </row>
    <row r="871">
      <c r="C871" s="41"/>
      <c r="H871" s="42"/>
      <c r="I871" s="42"/>
    </row>
    <row r="872">
      <c r="C872" s="41"/>
      <c r="H872" s="42"/>
      <c r="I872" s="42"/>
    </row>
    <row r="873">
      <c r="C873" s="41"/>
      <c r="H873" s="42"/>
      <c r="I873" s="42"/>
    </row>
    <row r="874">
      <c r="C874" s="41"/>
      <c r="H874" s="42"/>
      <c r="I874" s="42"/>
    </row>
    <row r="875">
      <c r="C875" s="41"/>
      <c r="H875" s="42"/>
      <c r="I875" s="42"/>
    </row>
    <row r="876">
      <c r="C876" s="41"/>
      <c r="H876" s="42"/>
      <c r="I876" s="42"/>
    </row>
    <row r="877">
      <c r="C877" s="41"/>
      <c r="H877" s="42"/>
      <c r="I877" s="42"/>
    </row>
    <row r="878">
      <c r="C878" s="41"/>
      <c r="H878" s="42"/>
      <c r="I878" s="42"/>
    </row>
    <row r="879">
      <c r="C879" s="41"/>
      <c r="H879" s="42"/>
      <c r="I879" s="42"/>
    </row>
    <row r="880">
      <c r="C880" s="41"/>
      <c r="H880" s="42"/>
      <c r="I880" s="42"/>
    </row>
    <row r="881">
      <c r="C881" s="41"/>
      <c r="H881" s="42"/>
      <c r="I881" s="42"/>
    </row>
    <row r="882">
      <c r="C882" s="41"/>
      <c r="H882" s="42"/>
      <c r="I882" s="42"/>
    </row>
    <row r="883">
      <c r="C883" s="41"/>
      <c r="H883" s="42"/>
      <c r="I883" s="42"/>
    </row>
    <row r="884">
      <c r="C884" s="41"/>
      <c r="H884" s="42"/>
      <c r="I884" s="42"/>
    </row>
    <row r="885">
      <c r="C885" s="41"/>
      <c r="H885" s="42"/>
      <c r="I885" s="42"/>
    </row>
    <row r="886">
      <c r="C886" s="41"/>
      <c r="H886" s="42"/>
      <c r="I886" s="42"/>
    </row>
    <row r="887">
      <c r="C887" s="41"/>
      <c r="H887" s="42"/>
      <c r="I887" s="42"/>
    </row>
    <row r="888">
      <c r="C888" s="41"/>
      <c r="H888" s="42"/>
      <c r="I888" s="42"/>
    </row>
    <row r="889">
      <c r="C889" s="41"/>
      <c r="H889" s="42"/>
      <c r="I889" s="42"/>
    </row>
    <row r="890">
      <c r="C890" s="41"/>
      <c r="H890" s="42"/>
      <c r="I890" s="42"/>
    </row>
    <row r="891">
      <c r="C891" s="41"/>
      <c r="H891" s="42"/>
      <c r="I891" s="42"/>
    </row>
    <row r="892">
      <c r="C892" s="41"/>
      <c r="H892" s="42"/>
      <c r="I892" s="42"/>
    </row>
    <row r="893">
      <c r="C893" s="41"/>
      <c r="H893" s="42"/>
      <c r="I893" s="42"/>
    </row>
    <row r="894">
      <c r="C894" s="41"/>
      <c r="H894" s="42"/>
      <c r="I894" s="42"/>
    </row>
    <row r="895">
      <c r="C895" s="41"/>
      <c r="H895" s="42"/>
      <c r="I895" s="42"/>
    </row>
    <row r="896">
      <c r="C896" s="41"/>
      <c r="H896" s="42"/>
      <c r="I896" s="42"/>
    </row>
    <row r="897">
      <c r="C897" s="41"/>
      <c r="H897" s="42"/>
      <c r="I897" s="42"/>
    </row>
    <row r="898">
      <c r="C898" s="41"/>
      <c r="H898" s="42"/>
      <c r="I898" s="42"/>
    </row>
    <row r="899">
      <c r="C899" s="41"/>
      <c r="H899" s="42"/>
      <c r="I899" s="42"/>
    </row>
    <row r="900">
      <c r="C900" s="41"/>
      <c r="H900" s="42"/>
      <c r="I900" s="42"/>
    </row>
    <row r="901">
      <c r="C901" s="41"/>
      <c r="H901" s="42"/>
      <c r="I901" s="42"/>
    </row>
    <row r="902">
      <c r="C902" s="41"/>
      <c r="H902" s="42"/>
      <c r="I902" s="42"/>
    </row>
    <row r="903">
      <c r="C903" s="41"/>
      <c r="H903" s="42"/>
      <c r="I903" s="42"/>
    </row>
    <row r="904">
      <c r="C904" s="41"/>
      <c r="H904" s="42"/>
      <c r="I904" s="42"/>
    </row>
    <row r="905">
      <c r="C905" s="41"/>
      <c r="H905" s="42"/>
      <c r="I905" s="42"/>
    </row>
    <row r="906">
      <c r="C906" s="41"/>
      <c r="H906" s="42"/>
      <c r="I906" s="42"/>
    </row>
    <row r="907">
      <c r="C907" s="41"/>
      <c r="H907" s="42"/>
      <c r="I907" s="42"/>
    </row>
    <row r="908">
      <c r="C908" s="41"/>
      <c r="H908" s="42"/>
      <c r="I908" s="42"/>
    </row>
    <row r="909">
      <c r="C909" s="41"/>
      <c r="H909" s="42"/>
      <c r="I909" s="42"/>
    </row>
    <row r="910">
      <c r="C910" s="41"/>
      <c r="H910" s="42"/>
      <c r="I910" s="42"/>
    </row>
    <row r="911">
      <c r="C911" s="41"/>
      <c r="H911" s="42"/>
      <c r="I911" s="42"/>
    </row>
    <row r="912">
      <c r="C912" s="41"/>
      <c r="H912" s="42"/>
      <c r="I912" s="42"/>
    </row>
    <row r="913">
      <c r="C913" s="41"/>
      <c r="H913" s="42"/>
      <c r="I913" s="42"/>
    </row>
    <row r="914">
      <c r="C914" s="41"/>
      <c r="H914" s="42"/>
      <c r="I914" s="42"/>
    </row>
    <row r="915">
      <c r="C915" s="41"/>
      <c r="H915" s="42"/>
      <c r="I915" s="42"/>
    </row>
    <row r="916">
      <c r="C916" s="41"/>
      <c r="H916" s="42"/>
      <c r="I916" s="42"/>
    </row>
    <row r="917">
      <c r="C917" s="41"/>
      <c r="H917" s="42"/>
      <c r="I917" s="42"/>
    </row>
    <row r="918">
      <c r="C918" s="41"/>
      <c r="H918" s="42"/>
      <c r="I918" s="42"/>
    </row>
    <row r="919">
      <c r="C919" s="41"/>
      <c r="H919" s="42"/>
      <c r="I919" s="42"/>
    </row>
    <row r="920">
      <c r="C920" s="41"/>
      <c r="H920" s="42"/>
      <c r="I920" s="42"/>
    </row>
    <row r="921">
      <c r="C921" s="41"/>
      <c r="H921" s="42"/>
      <c r="I921" s="42"/>
    </row>
    <row r="922">
      <c r="C922" s="41"/>
      <c r="H922" s="42"/>
      <c r="I922" s="42"/>
    </row>
    <row r="923">
      <c r="C923" s="41"/>
      <c r="H923" s="42"/>
      <c r="I923" s="42"/>
    </row>
    <row r="924">
      <c r="C924" s="41"/>
      <c r="H924" s="42"/>
      <c r="I924" s="42"/>
    </row>
    <row r="925">
      <c r="C925" s="41"/>
      <c r="H925" s="42"/>
      <c r="I925" s="42"/>
    </row>
    <row r="926">
      <c r="C926" s="41"/>
      <c r="H926" s="42"/>
      <c r="I926" s="42"/>
    </row>
    <row r="927">
      <c r="C927" s="41"/>
      <c r="H927" s="42"/>
      <c r="I927" s="42"/>
    </row>
    <row r="928">
      <c r="C928" s="41"/>
      <c r="H928" s="42"/>
      <c r="I928" s="42"/>
    </row>
    <row r="929">
      <c r="C929" s="41"/>
      <c r="H929" s="42"/>
      <c r="I929" s="42"/>
    </row>
    <row r="930">
      <c r="C930" s="41"/>
      <c r="H930" s="42"/>
      <c r="I930" s="42"/>
    </row>
    <row r="931">
      <c r="C931" s="41"/>
      <c r="H931" s="42"/>
      <c r="I931" s="42"/>
    </row>
    <row r="932">
      <c r="C932" s="41"/>
      <c r="H932" s="42"/>
      <c r="I932" s="42"/>
    </row>
    <row r="933">
      <c r="C933" s="41"/>
      <c r="H933" s="42"/>
      <c r="I933" s="42"/>
    </row>
    <row r="934">
      <c r="C934" s="41"/>
      <c r="H934" s="42"/>
      <c r="I934" s="42"/>
    </row>
    <row r="935">
      <c r="C935" s="41"/>
      <c r="H935" s="42"/>
      <c r="I935" s="42"/>
    </row>
    <row r="936">
      <c r="C936" s="41"/>
      <c r="H936" s="42"/>
      <c r="I936" s="42"/>
    </row>
    <row r="937">
      <c r="C937" s="41"/>
      <c r="H937" s="42"/>
      <c r="I937" s="42"/>
    </row>
    <row r="938">
      <c r="C938" s="41"/>
      <c r="H938" s="42"/>
      <c r="I938" s="42"/>
    </row>
    <row r="939">
      <c r="C939" s="41"/>
      <c r="H939" s="42"/>
      <c r="I939" s="42"/>
    </row>
    <row r="940">
      <c r="C940" s="41"/>
      <c r="H940" s="42"/>
      <c r="I940" s="42"/>
    </row>
    <row r="941">
      <c r="C941" s="41"/>
      <c r="H941" s="42"/>
      <c r="I941" s="42"/>
    </row>
    <row r="942">
      <c r="C942" s="41"/>
      <c r="H942" s="42"/>
      <c r="I942" s="42"/>
    </row>
    <row r="943">
      <c r="C943" s="41"/>
      <c r="H943" s="42"/>
      <c r="I943" s="42"/>
    </row>
    <row r="944">
      <c r="C944" s="41"/>
      <c r="H944" s="42"/>
      <c r="I944" s="42"/>
    </row>
    <row r="945">
      <c r="C945" s="41"/>
      <c r="H945" s="42"/>
      <c r="I945" s="42"/>
    </row>
    <row r="946">
      <c r="C946" s="41"/>
      <c r="H946" s="42"/>
      <c r="I946" s="42"/>
    </row>
    <row r="947">
      <c r="C947" s="41"/>
      <c r="H947" s="42"/>
      <c r="I947" s="42"/>
    </row>
    <row r="948">
      <c r="C948" s="41"/>
      <c r="H948" s="42"/>
      <c r="I948" s="42"/>
    </row>
    <row r="949">
      <c r="C949" s="41"/>
      <c r="H949" s="42"/>
      <c r="I949" s="42"/>
    </row>
    <row r="950">
      <c r="C950" s="41"/>
      <c r="H950" s="42"/>
      <c r="I950" s="42"/>
    </row>
    <row r="951">
      <c r="C951" s="41"/>
      <c r="H951" s="42"/>
      <c r="I951" s="42"/>
    </row>
    <row r="952">
      <c r="C952" s="41"/>
      <c r="H952" s="42"/>
      <c r="I952" s="42"/>
    </row>
    <row r="953">
      <c r="C953" s="41"/>
      <c r="H953" s="42"/>
      <c r="I953" s="42"/>
    </row>
    <row r="954">
      <c r="C954" s="41"/>
      <c r="H954" s="42"/>
      <c r="I954" s="42"/>
    </row>
    <row r="955">
      <c r="C955" s="41"/>
      <c r="H955" s="42"/>
      <c r="I955" s="42"/>
    </row>
    <row r="956">
      <c r="C956" s="41"/>
      <c r="H956" s="42"/>
      <c r="I956" s="42"/>
    </row>
    <row r="957">
      <c r="C957" s="41"/>
      <c r="H957" s="42"/>
      <c r="I957" s="42"/>
    </row>
    <row r="958">
      <c r="C958" s="41"/>
      <c r="H958" s="42"/>
      <c r="I958" s="42"/>
    </row>
    <row r="959">
      <c r="C959" s="41"/>
      <c r="H959" s="42"/>
      <c r="I959" s="42"/>
    </row>
    <row r="960">
      <c r="C960" s="41"/>
      <c r="H960" s="42"/>
      <c r="I960" s="42"/>
    </row>
    <row r="961">
      <c r="C961" s="41"/>
      <c r="H961" s="42"/>
      <c r="I961" s="42"/>
    </row>
    <row r="962">
      <c r="C962" s="41"/>
      <c r="H962" s="42"/>
      <c r="I962" s="42"/>
    </row>
    <row r="963">
      <c r="C963" s="41"/>
      <c r="H963" s="42"/>
      <c r="I963" s="42"/>
    </row>
    <row r="964">
      <c r="C964" s="41"/>
      <c r="H964" s="42"/>
      <c r="I964" s="42"/>
    </row>
    <row r="965">
      <c r="C965" s="41"/>
      <c r="H965" s="42"/>
      <c r="I965" s="42"/>
    </row>
    <row r="966">
      <c r="C966" s="41"/>
      <c r="H966" s="42"/>
      <c r="I966" s="42"/>
    </row>
    <row r="967">
      <c r="C967" s="41"/>
      <c r="H967" s="42"/>
      <c r="I967" s="42"/>
    </row>
    <row r="968">
      <c r="C968" s="41"/>
      <c r="H968" s="42"/>
      <c r="I968" s="42"/>
    </row>
    <row r="969">
      <c r="C969" s="41"/>
      <c r="H969" s="42"/>
      <c r="I969" s="42"/>
    </row>
    <row r="970">
      <c r="C970" s="41"/>
      <c r="H970" s="42"/>
      <c r="I970" s="42"/>
    </row>
    <row r="971">
      <c r="C971" s="41"/>
      <c r="H971" s="42"/>
      <c r="I971" s="42"/>
    </row>
    <row r="972">
      <c r="C972" s="41"/>
      <c r="H972" s="42"/>
      <c r="I972" s="42"/>
    </row>
    <row r="973">
      <c r="C973" s="41"/>
      <c r="H973" s="42"/>
      <c r="I973" s="42"/>
    </row>
    <row r="974">
      <c r="C974" s="41"/>
      <c r="H974" s="42"/>
      <c r="I974" s="42"/>
    </row>
    <row r="975">
      <c r="C975" s="41"/>
      <c r="H975" s="42"/>
      <c r="I975" s="42"/>
    </row>
    <row r="976">
      <c r="C976" s="41"/>
      <c r="H976" s="42"/>
      <c r="I976" s="42"/>
    </row>
    <row r="977">
      <c r="C977" s="41"/>
      <c r="H977" s="42"/>
      <c r="I977" s="42"/>
    </row>
    <row r="978">
      <c r="C978" s="41"/>
      <c r="H978" s="42"/>
      <c r="I978" s="42"/>
    </row>
    <row r="979">
      <c r="C979" s="41"/>
      <c r="H979" s="42"/>
      <c r="I979" s="42"/>
    </row>
    <row r="980">
      <c r="C980" s="41"/>
      <c r="H980" s="42"/>
      <c r="I980" s="42"/>
    </row>
    <row r="981">
      <c r="C981" s="41"/>
      <c r="H981" s="42"/>
      <c r="I981" s="42"/>
    </row>
    <row r="982">
      <c r="C982" s="41"/>
      <c r="H982" s="42"/>
      <c r="I982" s="42"/>
    </row>
    <row r="983">
      <c r="C983" s="41"/>
      <c r="H983" s="42"/>
      <c r="I983" s="42"/>
    </row>
    <row r="984">
      <c r="C984" s="41"/>
      <c r="H984" s="42"/>
      <c r="I984" s="42"/>
    </row>
    <row r="985">
      <c r="C985" s="41"/>
      <c r="H985" s="42"/>
      <c r="I985" s="42"/>
    </row>
    <row r="986">
      <c r="C986" s="41"/>
      <c r="H986" s="42"/>
      <c r="I986" s="42"/>
    </row>
    <row r="987">
      <c r="C987" s="41"/>
      <c r="H987" s="42"/>
      <c r="I987" s="42"/>
    </row>
    <row r="988">
      <c r="C988" s="41"/>
      <c r="H988" s="42"/>
      <c r="I988" s="42"/>
    </row>
    <row r="989">
      <c r="C989" s="41"/>
      <c r="H989" s="42"/>
      <c r="I989" s="42"/>
    </row>
    <row r="990">
      <c r="C990" s="41"/>
      <c r="H990" s="42"/>
      <c r="I990" s="42"/>
    </row>
    <row r="991">
      <c r="C991" s="41"/>
      <c r="H991" s="42"/>
      <c r="I991" s="42"/>
    </row>
    <row r="992">
      <c r="C992" s="41"/>
      <c r="H992" s="42"/>
      <c r="I992" s="42"/>
    </row>
    <row r="993">
      <c r="C993" s="41"/>
      <c r="H993" s="42"/>
      <c r="I993" s="42"/>
    </row>
    <row r="994">
      <c r="C994" s="41"/>
      <c r="H994" s="42"/>
      <c r="I994" s="42"/>
    </row>
    <row r="995">
      <c r="C995" s="41"/>
      <c r="H995" s="42"/>
      <c r="I995" s="42"/>
    </row>
  </sheetData>
  <mergeCells count="2">
    <mergeCell ref="M1:R1"/>
    <mergeCell ref="S1:X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4" max="4" width="18.5"/>
    <col customWidth="1" min="5" max="5" width="15.5"/>
  </cols>
  <sheetData>
    <row r="1">
      <c r="A1" s="44" t="s">
        <v>59</v>
      </c>
      <c r="B1" s="44" t="s">
        <v>60</v>
      </c>
      <c r="C1" s="44" t="s">
        <v>61</v>
      </c>
      <c r="D1" s="44" t="s">
        <v>62</v>
      </c>
      <c r="E1" s="44" t="s">
        <v>63</v>
      </c>
      <c r="F1" s="44" t="s">
        <v>64</v>
      </c>
    </row>
    <row r="2">
      <c r="A2" s="44">
        <v>123.0</v>
      </c>
      <c r="B2" s="44" t="s">
        <v>65</v>
      </c>
      <c r="C2" s="45"/>
      <c r="D2" s="44" t="s">
        <v>66</v>
      </c>
      <c r="E2" s="45"/>
      <c r="F2" s="45"/>
    </row>
    <row r="3">
      <c r="A3" s="45"/>
      <c r="B3" s="45"/>
      <c r="C3" s="45"/>
      <c r="D3" s="45"/>
      <c r="E3" s="45"/>
      <c r="F3" s="45"/>
    </row>
    <row r="4">
      <c r="A4" s="45"/>
      <c r="B4" s="45"/>
      <c r="C4" s="45"/>
      <c r="D4" s="45"/>
      <c r="E4" s="45"/>
      <c r="F4" s="45"/>
    </row>
    <row r="5">
      <c r="A5" s="45"/>
      <c r="B5" s="45"/>
      <c r="C5" s="45"/>
      <c r="D5" s="45"/>
      <c r="E5" s="45"/>
      <c r="F5" s="45"/>
    </row>
    <row r="6">
      <c r="A6" s="45"/>
      <c r="B6" s="45"/>
      <c r="C6" s="45"/>
      <c r="D6" s="45"/>
      <c r="E6" s="45"/>
      <c r="F6" s="4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1">
      <c r="A1" s="46" t="s">
        <v>67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>
      <c r="A2" s="49" t="s">
        <v>68</v>
      </c>
      <c r="B2" s="50"/>
      <c r="C2" s="51" t="s">
        <v>69</v>
      </c>
      <c r="D2" s="18"/>
      <c r="E2" s="50"/>
      <c r="F2" s="52" t="s">
        <v>70</v>
      </c>
      <c r="G2" s="50"/>
      <c r="H2" s="51" t="s">
        <v>71</v>
      </c>
      <c r="I2" s="18"/>
      <c r="J2" s="18"/>
      <c r="K2" s="50"/>
    </row>
    <row r="3">
      <c r="A3" s="49" t="s">
        <v>72</v>
      </c>
      <c r="B3" s="50"/>
      <c r="C3" s="51" t="s">
        <v>73</v>
      </c>
      <c r="D3" s="18"/>
      <c r="E3" s="50"/>
      <c r="F3" s="52" t="s">
        <v>74</v>
      </c>
      <c r="G3" s="50"/>
      <c r="H3" s="51" t="s">
        <v>75</v>
      </c>
      <c r="I3" s="18"/>
      <c r="J3" s="18"/>
      <c r="K3" s="50"/>
    </row>
    <row r="4">
      <c r="A4" s="53" t="s">
        <v>76</v>
      </c>
      <c r="B4" s="50"/>
      <c r="C4" s="54"/>
      <c r="D4" s="18"/>
      <c r="E4" s="18"/>
      <c r="F4" s="18"/>
      <c r="G4" s="18"/>
      <c r="H4" s="18"/>
      <c r="I4" s="18"/>
      <c r="J4" s="18"/>
      <c r="K4" s="50"/>
    </row>
    <row r="5">
      <c r="A5" s="55"/>
      <c r="B5" s="56" t="s">
        <v>77</v>
      </c>
      <c r="C5" s="57">
        <f>D12/J12</f>
        <v>0.6666666667</v>
      </c>
      <c r="D5" s="55"/>
      <c r="E5" s="55"/>
      <c r="F5" s="55"/>
      <c r="G5" s="55"/>
      <c r="H5" s="55"/>
      <c r="I5" s="55"/>
      <c r="J5" s="55"/>
      <c r="K5" s="55"/>
    </row>
    <row r="6">
      <c r="A6" s="55"/>
      <c r="B6" s="58" t="s">
        <v>78</v>
      </c>
      <c r="C6" s="57">
        <f>E12/J12</f>
        <v>0.3333333333</v>
      </c>
      <c r="D6" s="55"/>
      <c r="E6" s="55"/>
      <c r="F6" s="55"/>
      <c r="G6" s="55"/>
      <c r="H6" s="55"/>
      <c r="I6" s="55"/>
      <c r="J6" s="59" t="s">
        <v>79</v>
      </c>
      <c r="K6" s="60" t="s">
        <v>80</v>
      </c>
    </row>
    <row r="7">
      <c r="A7" s="55"/>
      <c r="B7" s="61"/>
      <c r="C7" s="55"/>
      <c r="D7" s="55"/>
      <c r="E7" s="55"/>
      <c r="F7" s="55"/>
      <c r="G7" s="55"/>
      <c r="H7" s="55"/>
      <c r="I7" s="55"/>
      <c r="J7" s="55"/>
      <c r="K7" s="55"/>
    </row>
    <row r="8">
      <c r="A8" s="19" t="s">
        <v>81</v>
      </c>
      <c r="B8" s="19" t="s">
        <v>82</v>
      </c>
      <c r="C8" s="19" t="s">
        <v>83</v>
      </c>
      <c r="D8" s="19" t="s">
        <v>84</v>
      </c>
      <c r="E8" s="19" t="s">
        <v>48</v>
      </c>
      <c r="F8" s="19" t="s">
        <v>53</v>
      </c>
      <c r="G8" s="19" t="s">
        <v>85</v>
      </c>
      <c r="H8" s="19" t="s">
        <v>86</v>
      </c>
      <c r="I8" s="19" t="s">
        <v>87</v>
      </c>
      <c r="J8" s="19" t="s">
        <v>14</v>
      </c>
      <c r="K8" s="19" t="s">
        <v>88</v>
      </c>
    </row>
    <row r="9">
      <c r="A9" s="62">
        <v>1.0</v>
      </c>
      <c r="B9" s="62" t="str">
        <f>'Requirement List'!B2</f>
        <v>R001</v>
      </c>
      <c r="C9" s="63" t="str">
        <f>'Requirement List'!C2</f>
        <v>Home</v>
      </c>
      <c r="D9" s="62">
        <f>SUM('Test Summary Report'!$E9:$G9)</f>
        <v>0</v>
      </c>
      <c r="E9" s="62">
        <f>COUNTIFS('Test Cases'!$D:$D,'Test Summary Report'!$C9,'Test Cases'!$N:$N,'Test Summary Report'!E$8)</f>
        <v>0</v>
      </c>
      <c r="F9" s="62">
        <f>COUNTIFS('Test Cases'!$D:$D,'Test Summary Report'!$C9,'Test Cases'!$N:$N,'Test Summary Report'!F$8)</f>
        <v>0</v>
      </c>
      <c r="G9" s="62">
        <f>COUNTIFS('Test Cases'!$D:$D,'Test Summary Report'!$C9,'Test Cases'!$N:$N,'Test Summary Report'!G$8)</f>
        <v>0</v>
      </c>
      <c r="H9" s="62">
        <f>COUNTIFS('Test Cases'!$D:$D,'Test Summary Report'!$C9,'Test Cases'!$N:$N,'Test Summary Report'!H$8)</f>
        <v>0</v>
      </c>
      <c r="I9" s="62">
        <f>COUNTIFS('Test Cases'!$D:$D,'Test Summary Report'!$C9)-sum(D9,H9)</f>
        <v>0</v>
      </c>
      <c r="J9" s="64">
        <f>SUM('Test Summary Report'!$E9:$I9)</f>
        <v>0</v>
      </c>
      <c r="K9" s="65" t="str">
        <f>'Test Summary Report'!$D9/'Test Summary Report'!$J9</f>
        <v>#DIV/0!</v>
      </c>
    </row>
    <row r="10">
      <c r="A10" s="66">
        <v>2.0</v>
      </c>
      <c r="B10" s="67" t="str">
        <f>'Requirement List'!B3</f>
        <v>R002</v>
      </c>
      <c r="C10" s="68" t="str">
        <f>'Requirement List'!C3</f>
        <v>Login</v>
      </c>
      <c r="D10" s="67">
        <f>SUM('Test Summary Report'!$E10:$G10)</f>
        <v>2</v>
      </c>
      <c r="E10" s="67">
        <f>COUNTIFS('Test Cases'!$D:$D,'Test Summary Report'!$C10,'Test Cases'!$N:$N,'Test Summary Report'!E$8)</f>
        <v>1</v>
      </c>
      <c r="F10" s="67">
        <f>COUNTIFS('Test Cases'!$D:$D,'Test Summary Report'!$C10,'Test Cases'!$N:$N,'Test Summary Report'!F$8)</f>
        <v>1</v>
      </c>
      <c r="G10" s="67">
        <f>COUNTIFS('Test Cases'!$D:$D,'Test Summary Report'!$C10,'Test Cases'!$N:$N,'Test Summary Report'!G$8)</f>
        <v>0</v>
      </c>
      <c r="H10" s="67">
        <f>COUNTIFS('Test Cases'!$D:$D,'Test Summary Report'!$C10,'Test Cases'!$N:$N,'Test Summary Report'!H$8)</f>
        <v>0</v>
      </c>
      <c r="I10" s="67">
        <f>COUNTIFS('Test Cases'!$D:$D,'Test Summary Report'!$C10)-sum(D10,H10)</f>
        <v>0</v>
      </c>
      <c r="J10" s="69">
        <f>SUM('Test Summary Report'!$E10:$I10)</f>
        <v>2</v>
      </c>
      <c r="K10" s="70">
        <f>'Test Summary Report'!$D10/'Test Summary Report'!$J10</f>
        <v>1</v>
      </c>
    </row>
    <row r="11">
      <c r="A11" s="71">
        <v>3.0</v>
      </c>
      <c r="B11" s="62" t="str">
        <f>'Requirement List'!B4</f>
        <v>R003</v>
      </c>
      <c r="C11" s="63" t="str">
        <f>'Requirement List'!C4</f>
        <v>Manage Client</v>
      </c>
      <c r="D11" s="62">
        <f>SUM('Test Summary Report'!$E11:$G11)</f>
        <v>0</v>
      </c>
      <c r="E11" s="62">
        <f>COUNTIFS('Test Cases'!$D:$D,'Test Summary Report'!$C11,'Test Cases'!$N:$N,'Test Summary Report'!E$8)</f>
        <v>0</v>
      </c>
      <c r="F11" s="62">
        <f>COUNTIFS('Test Cases'!$D:$D,'Test Summary Report'!$C11,'Test Cases'!$N:$N,'Test Summary Report'!F$8)</f>
        <v>0</v>
      </c>
      <c r="G11" s="62">
        <f>COUNTIFS('Test Cases'!$D:$D,'Test Summary Report'!$C11,'Test Cases'!$N:$N,'Test Summary Report'!G$8)</f>
        <v>0</v>
      </c>
      <c r="H11" s="62">
        <f>COUNTIFS('Test Cases'!$D:$D,'Test Summary Report'!$C11,'Test Cases'!$N:$N,'Test Summary Report'!H$8)</f>
        <v>0</v>
      </c>
      <c r="I11" s="62">
        <f>COUNTIFS('Test Cases'!$D:$D,'Test Summary Report'!$C11)-sum(D11,H11)</f>
        <v>1</v>
      </c>
      <c r="J11" s="64">
        <f>SUM('Test Summary Report'!$E11:$I11)</f>
        <v>1</v>
      </c>
      <c r="K11" s="65">
        <f>'Test Summary Report'!$D11/'Test Summary Report'!$J11</f>
        <v>0</v>
      </c>
    </row>
    <row r="12">
      <c r="A12" s="9" t="s">
        <v>13</v>
      </c>
      <c r="B12" s="9"/>
      <c r="C12" s="10" t="s">
        <v>14</v>
      </c>
      <c r="D12" s="72">
        <f t="shared" ref="D12:J12" si="1">SUM(D9:D11)</f>
        <v>2</v>
      </c>
      <c r="E12" s="72">
        <f t="shared" si="1"/>
        <v>1</v>
      </c>
      <c r="F12" s="72">
        <f t="shared" si="1"/>
        <v>1</v>
      </c>
      <c r="G12" s="72">
        <f t="shared" si="1"/>
        <v>0</v>
      </c>
      <c r="H12" s="72">
        <f t="shared" si="1"/>
        <v>0</v>
      </c>
      <c r="I12" s="72">
        <f t="shared" si="1"/>
        <v>1</v>
      </c>
      <c r="J12" s="72">
        <f t="shared" si="1"/>
        <v>3</v>
      </c>
      <c r="K12" s="73">
        <f>C5</f>
        <v>0.6666666667</v>
      </c>
    </row>
  </sheetData>
  <mergeCells count="11">
    <mergeCell ref="F3:G3"/>
    <mergeCell ref="H3:K3"/>
    <mergeCell ref="A4:B4"/>
    <mergeCell ref="C4:K4"/>
    <mergeCell ref="A1:K1"/>
    <mergeCell ref="A2:B2"/>
    <mergeCell ref="C2:E2"/>
    <mergeCell ref="F2:G2"/>
    <mergeCell ref="H2:K2"/>
    <mergeCell ref="A3:B3"/>
    <mergeCell ref="C3:E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8.63"/>
  </cols>
  <sheetData>
    <row r="1">
      <c r="A1" s="1" t="s">
        <v>89</v>
      </c>
      <c r="B1" s="74"/>
    </row>
    <row r="2">
      <c r="A2" s="75" t="s">
        <v>48</v>
      </c>
      <c r="B2" s="76" t="s">
        <v>90</v>
      </c>
    </row>
    <row r="3">
      <c r="A3" s="75" t="s">
        <v>53</v>
      </c>
      <c r="B3" s="76" t="s">
        <v>91</v>
      </c>
      <c r="C3" s="77" t="s">
        <v>92</v>
      </c>
    </row>
    <row r="4">
      <c r="A4" s="75" t="s">
        <v>85</v>
      </c>
      <c r="B4" s="76" t="s">
        <v>93</v>
      </c>
    </row>
    <row r="5">
      <c r="A5" s="75" t="s">
        <v>86</v>
      </c>
      <c r="B5" s="76" t="s">
        <v>94</v>
      </c>
    </row>
    <row r="6">
      <c r="A6" s="75" t="s">
        <v>87</v>
      </c>
      <c r="B6" s="74"/>
    </row>
    <row r="7">
      <c r="A7" s="74"/>
      <c r="B7" s="74"/>
    </row>
  </sheetData>
  <drawing r:id="rId1"/>
</worksheet>
</file>